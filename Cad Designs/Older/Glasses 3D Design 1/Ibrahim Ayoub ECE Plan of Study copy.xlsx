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autoCompressPictures="0"/>
  <mc:AlternateContent xmlns:mc="http://schemas.openxmlformats.org/markup-compatibility/2006">
    <mc:Choice Requires="x15">
      <x15ac:absPath xmlns:x15ac="http://schemas.microsoft.com/office/spreadsheetml/2010/11/ac" url="/Users/ibrahimayoub/Desktop/"/>
    </mc:Choice>
  </mc:AlternateContent>
  <xr:revisionPtr revIDLastSave="0" documentId="13_ncr:1_{E39DF89B-84E8-DF41-8353-1F022BBCB326}" xr6:coauthVersionLast="47" xr6:coauthVersionMax="47" xr10:uidLastSave="{00000000-0000-0000-0000-000000000000}"/>
  <bookViews>
    <workbookView xWindow="0" yWindow="640" windowWidth="30240" windowHeight="18980" xr2:uid="{00000000-000D-0000-FFFF-FFFF00000000}"/>
  </bookViews>
  <sheets>
    <sheet name="4 yrs, 1 co-op (spring) (2)" sheetId="9" r:id="rId1"/>
    <sheet name="4 yrs, 2 co-op (spring)" sheetId="8" r:id="rId2"/>
    <sheet name="4 yrs, 1 co-op (fall)" sheetId="6" r:id="rId3"/>
    <sheet name="5 yrs, 3 co-ops (fall cycle)" sheetId="4" r:id="rId4"/>
    <sheet name="5 yrs, 3 co-ops (spring cycle)" sheetId="5" r:id="rId5"/>
    <sheet name="Technical Elective Options" sheetId="7" r:id="rId6"/>
    <sheet name="General Elective Exclusions" sheetId="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91" i="9" l="1"/>
  <c r="M87" i="9"/>
  <c r="M85" i="9"/>
  <c r="M83" i="9"/>
  <c r="M91" i="8"/>
  <c r="M87" i="8"/>
  <c r="M85" i="8"/>
  <c r="M83" i="8"/>
  <c r="M91" i="6"/>
  <c r="M87" i="6"/>
  <c r="M85" i="6"/>
  <c r="M83" i="6"/>
  <c r="M91" i="5"/>
  <c r="M87" i="5"/>
  <c r="M85" i="5"/>
  <c r="M83" i="5"/>
  <c r="M91" i="4"/>
  <c r="M87" i="4"/>
  <c r="M85" i="4"/>
  <c r="M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tc={3847F761-3F2F-DB4A-A8E5-81A89B25D63D}</author>
    <author>tc={12ED3E1B-7DA9-A140-9F54-85723F440620}</author>
    <author>Huff, Liam</author>
    <author>tc={78BAFB6D-0EEA-1A4F-B0F8-08D65C01E41C}</author>
    <author>tc={7246A599-BE76-1E41-B2A5-09A0A3B504E5}</author>
    <author>tc={C27424F5-8888-9A4D-AFB0-B098C5ABDB1F}</author>
    <author>tc={D50344F1-D522-024E-A5B3-73CE9DCE513E}</author>
    <author>tc={A562DE55-95F1-8E4D-A177-D71335C2FFFE}</author>
    <author>tc={F519851B-98FD-DA4B-BF23-26560D79A50B}</author>
    <author>tc={05720685-CC7C-C846-A2B9-BFAE1B5B7504}</author>
    <author>Rakouskas, Russell</author>
    <author>tc={42F11EAF-09FF-5442-B311-D90C1F5A32B8}</author>
    <author>tc={102CBD70-9362-E94E-811D-A1A4BE9B1C19}</author>
    <author>tc={FE9642F7-67AF-2D46-A0A2-6114232AD610}</author>
    <author>tc={B9655983-2277-1A4D-A983-ADAE70BC3F0E}</author>
    <author>tc={CA9DF2A9-73D2-124E-9DFE-B07ECDC0F7A1}</author>
    <author>tc={E6C6831E-D695-1D47-BF46-049CE5328ABE}</author>
    <author>tc={544A8D75-32A7-F243-99E8-B38B77A20797}</author>
    <author>tc={ADB9D4C4-FC50-E64D-9482-AA7DBBF32507}</author>
    <author>tc={1A7896BB-DF97-6048-99CB-8E9CAF131270}</author>
    <author>tc={D1CB336B-EB42-B841-A1D9-A0898EEA37C6}</author>
    <author>tc={02E629E7-7CB6-684B-AB2A-0D7AAAD4A39D}</author>
    <author>tc={ABC9F888-1708-EA47-878B-4B2BF3EFB23A}</author>
    <author>tc={F4EA0534-0765-DA4F-AAB4-0C35E42ACAEF}</author>
    <author>tc={1FFC02FE-9E7F-9B41-A824-2D524083EAD6}</author>
    <author>tc={1E325A69-F24B-D14A-8DF7-8AEA5266C55C}</author>
    <author>tc={0B8743E6-B6D7-C646-A78B-87F296E1AD3D}</author>
    <author>tc={0E20CE6C-2988-2A4D-A39E-024C7EB17727}</author>
    <author>tc={31686828-08F0-4D43-9EE0-889EC003AABD}</author>
    <author>tc={AC687A4F-6C97-714C-A110-4A52A77715B0}</author>
    <author>tc={976B397D-E787-184C-880A-26EC527A8EAB}</author>
    <author>tc={6634583D-1C42-DA46-AE80-E1594CF38698}</author>
    <author>tc={75BFCA01-A411-BD44-83DD-86FDF45E444D}</author>
    <author>tc={5B7B98FE-0886-CA4D-A08B-319CE170BA69}</author>
    <author>tc={7993979E-468C-9045-B80C-30F608020304}</author>
  </authors>
  <commentList>
    <comment ref="D9" authorId="0" shapeId="0" xr:uid="{3847F761-3F2F-DB4A-A8E5-81A89B25D63D}">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E9" authorId="1" shapeId="0" xr:uid="{12ED3E1B-7DA9-A140-9F54-85723F44062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I11" authorId="2" shapeId="0" xr:uid="{80D6DCF0-8A19-ED42-AFD5-00429F0A99B0}">
      <text>
        <r>
          <rPr>
            <sz val="11"/>
            <color theme="1"/>
            <rFont val="Calibri"/>
            <family val="2"/>
            <scheme val="minor"/>
          </rPr>
          <t xml:space="preserve">Offered FL - SP
</t>
        </r>
      </text>
    </comment>
    <comment ref="I15" authorId="3" shapeId="0" xr:uid="{78BAFB6D-0EEA-1A4F-B0F8-08D65C01E41C}">
      <text>
        <t xml:space="preserve">[Threaded comment]
Your version of Excel allows you to read this threaded comment; however, any edits to it will get removed if the file is opened in a newer version of Excel. Learn more: https://go.microsoft.com/fwlink/?linkid=870924
Comment:
    Offered FL - SP
</t>
      </text>
    </comment>
    <comment ref="I16" authorId="4" shapeId="0" xr:uid="{7246A599-BE76-1E41-B2A5-09A0A3B504E5}">
      <text>
        <t>[Threaded comment]
Your version of Excel allows you to read this threaded comment; however, any edits to it will get removed if the file is opened in a newer version of Excel. Learn more: https://go.microsoft.com/fwlink/?linkid=870924
Comment:
    Prerequisite:
MATH1341 
Offered: FL - SP - SM1 - SM2</t>
      </text>
    </comment>
    <comment ref="I17" authorId="2" shapeId="0" xr:uid="{41D4DDCB-797B-A14C-9694-E1016FA4ED6B}">
      <text>
        <r>
          <rPr>
            <sz val="11"/>
            <color rgb="FF000000"/>
            <rFont val="Calibri"/>
            <family val="2"/>
          </rPr>
          <t xml:space="preserve">Terms Offered: FL - SP - SM1 - SM2
</t>
        </r>
        <r>
          <rPr>
            <sz val="11"/>
            <color rgb="FF000000"/>
            <rFont val="Calibri"/>
            <family val="2"/>
          </rPr>
          <t xml:space="preserve">
</t>
        </r>
        <r>
          <rPr>
            <sz val="11"/>
            <color rgb="FF000000"/>
            <rFont val="Calibri"/>
            <family val="2"/>
          </rPr>
          <t xml:space="preserve">
</t>
        </r>
        <r>
          <rPr>
            <sz val="11"/>
            <color rgb="FF000000"/>
            <rFont val="Calibri"/>
            <family val="2"/>
          </rPr>
          <t xml:space="preserve">
</t>
        </r>
        <r>
          <rPr>
            <sz val="11"/>
            <color rgb="FF000000"/>
            <rFont val="Calibri"/>
            <family val="2"/>
          </rPr>
          <t xml:space="preserve">Pre-Req: MATH1342 </t>
        </r>
      </text>
    </comment>
    <comment ref="I18" authorId="5" shapeId="0" xr:uid="{C27424F5-8888-9A4D-AFB0-B098C5ABDB1F}">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Pre-Req: MATH1342
</t>
      </text>
    </comment>
    <comment ref="D19" authorId="6" shapeId="0" xr:uid="{D50344F1-D522-024E-A5B3-73CE9DCE513E}">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I19" authorId="2" shapeId="0" xr:uid="{1DBDAA49-EB61-964E-8754-79497E48BFC6}">
      <text>
        <r>
          <rPr>
            <sz val="11"/>
            <color rgb="FF000000"/>
            <rFont val="Calibri"/>
            <family val="2"/>
          </rPr>
          <t xml:space="preserve">Prerequisites:
</t>
        </r>
        <r>
          <rPr>
            <sz val="11"/>
            <color rgb="FF000000"/>
            <rFont val="Calibri"/>
            <family val="2"/>
          </rPr>
          <t xml:space="preserve">
</t>
        </r>
        <r>
          <rPr>
            <sz val="11"/>
            <color rgb="FF000000"/>
            <rFont val="Calibri"/>
            <family val="2"/>
          </rPr>
          <t xml:space="preserve">MATH1341 
</t>
        </r>
        <r>
          <rPr>
            <sz val="11"/>
            <color rgb="FF000000"/>
            <rFont val="Calibri"/>
            <family val="2"/>
          </rPr>
          <t xml:space="preserve">
</t>
        </r>
        <r>
          <rPr>
            <sz val="11"/>
            <color rgb="FF000000"/>
            <rFont val="Calibri"/>
            <family val="2"/>
          </rPr>
          <t xml:space="preserve"> *may be taken concurrently
</t>
        </r>
        <r>
          <rPr>
            <sz val="11"/>
            <color rgb="FF000000"/>
            <rFont val="Calibri"/>
            <family val="2"/>
          </rPr>
          <t xml:space="preserve">
</t>
        </r>
        <r>
          <rPr>
            <sz val="11"/>
            <color rgb="FF000000"/>
            <rFont val="Calibri"/>
            <family val="2"/>
          </rPr>
          <t xml:space="preserve">
</t>
        </r>
        <r>
          <rPr>
            <sz val="11"/>
            <color rgb="FF000000"/>
            <rFont val="Calibri"/>
            <family val="2"/>
          </rPr>
          <t xml:space="preserve">
</t>
        </r>
        <r>
          <rPr>
            <sz val="11"/>
            <color rgb="FF000000"/>
            <rFont val="Calibri"/>
            <family val="2"/>
          </rPr>
          <t xml:space="preserve">Offered: FL - SP - SM1 - SM2
</t>
        </r>
        <r>
          <rPr>
            <sz val="11"/>
            <color rgb="FF000000"/>
            <rFont val="Calibri"/>
            <family val="2"/>
          </rPr>
          <t xml:space="preserve">
</t>
        </r>
      </text>
    </comment>
    <comment ref="I20" authorId="7" shapeId="0" xr:uid="{A562DE55-95F1-8E4D-A177-D71335C2FFFE}">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Co-Reqs: PHYS1151
</t>
      </text>
    </comment>
    <comment ref="D21" authorId="8" shapeId="0" xr:uid="{F519851B-98FD-DA4B-BF23-26560D79A50B}">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I21" authorId="9" shapeId="0" xr:uid="{05720685-CC7C-C846-A2B9-BFAE1B5B7504}">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Co-Reqs: PHYS1151
</t>
      </text>
    </comment>
    <comment ref="I22" authorId="10" shapeId="0" xr:uid="{C50FC13D-3618-CF4C-991F-933405EDDDC6}">
      <text>
        <r>
          <rPr>
            <b/>
            <sz val="9"/>
            <color rgb="FF000000"/>
            <rFont val="Tahoma"/>
            <family val="2"/>
          </rPr>
          <t xml:space="preserve">Prerequisites:
</t>
        </r>
        <r>
          <rPr>
            <b/>
            <sz val="9"/>
            <color rgb="FF000000"/>
            <rFont val="Tahoma"/>
            <family val="2"/>
          </rPr>
          <t xml:space="preserve">PHYS1151
</t>
        </r>
        <r>
          <rPr>
            <b/>
            <sz val="9"/>
            <color rgb="FF000000"/>
            <rFont val="Tahoma"/>
            <family val="2"/>
          </rPr>
          <t xml:space="preserve">MATH1342 (may be taken concurrently)
</t>
        </r>
        <r>
          <rPr>
            <b/>
            <sz val="9"/>
            <color rgb="FF000000"/>
            <rFont val="Tahoma"/>
            <family val="2"/>
          </rPr>
          <t xml:space="preserve">
</t>
        </r>
        <r>
          <rPr>
            <b/>
            <sz val="9"/>
            <color rgb="FF000000"/>
            <rFont val="Tahoma"/>
            <family val="2"/>
          </rPr>
          <t>Offered: FL - SP - SM1</t>
        </r>
      </text>
    </comment>
    <comment ref="I23" authorId="11" shapeId="0" xr:uid="{42F11EAF-09FF-5442-B311-D90C1F5A32B8}">
      <text>
        <t xml:space="preserve">[Threaded comment]
Your version of Excel allows you to read this threaded comment; however, any edits to it will get removed if the file is opened in a newer version of Excel. Learn more: https://go.microsoft.com/fwlink/?linkid=870924
Comment:
    Terms Offered: FL - SP - SM1
Co-Req: PHYS1155
</t>
      </text>
    </comment>
    <comment ref="I24" authorId="12" shapeId="0" xr:uid="{102CBD70-9362-E94E-811D-A1A4BE9B1C19}">
      <text>
        <t xml:space="preserve">[Threaded comment]
Your version of Excel allows you to read this threaded comment; however, any edits to it will get removed if the file is opened in a newer version of Excel. Learn more: https://go.microsoft.com/fwlink/?linkid=870924
Comment:
    Terms Offered: FL - SP - SM1
Co-Req: PHYS1155
</t>
      </text>
    </comment>
    <comment ref="D29" authorId="13" shapeId="0" xr:uid="{FE9642F7-67AF-2D46-A0A2-6114232AD61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I29" authorId="2" shapeId="0" xr:uid="{1CC52A52-C3F1-2141-855E-8275754F97C3}">
      <text>
        <r>
          <rPr>
            <sz val="11"/>
            <color rgb="FF000000"/>
            <rFont val="Calibri"/>
            <family val="2"/>
          </rPr>
          <t xml:space="preserve">Terms Offered: FL - SP
</t>
        </r>
        <r>
          <rPr>
            <sz val="11"/>
            <color rgb="FF000000"/>
            <rFont val="Calibri"/>
            <family val="2"/>
          </rPr>
          <t xml:space="preserve">
</t>
        </r>
        <r>
          <rPr>
            <sz val="11"/>
            <color rgb="FF000000"/>
            <rFont val="Calibri"/>
            <family val="2"/>
          </rPr>
          <t xml:space="preserve">Pre-Req/Co-reqs: NONE
</t>
        </r>
        <r>
          <rPr>
            <sz val="11"/>
            <color rgb="FF000000"/>
            <rFont val="Calibri"/>
            <family val="2"/>
          </rPr>
          <t xml:space="preserve">
</t>
        </r>
        <r>
          <rPr>
            <sz val="11"/>
            <color rgb="FF000000"/>
            <rFont val="Calibri"/>
            <family val="2"/>
          </rPr>
          <t xml:space="preserve">
</t>
        </r>
        <r>
          <rPr>
            <sz val="11"/>
            <color rgb="FF000000"/>
            <rFont val="Calibri"/>
            <family val="2"/>
          </rPr>
          <t xml:space="preserve">Computing fundamentals (EECE 2140) may be taken year 1 in place of a general elective for students interested in extra preparation for co-ops involving computer hardware
</t>
        </r>
        <r>
          <rPr>
            <sz val="11"/>
            <color rgb="FF000000"/>
            <rFont val="Calibri"/>
            <family val="2"/>
          </rPr>
          <t xml:space="preserve">
</t>
        </r>
      </text>
    </comment>
    <comment ref="I30" authorId="2" shapeId="0" xr:uid="{7674484A-9D5F-C048-A893-163F7E6AE351}">
      <text>
        <r>
          <rPr>
            <sz val="11"/>
            <color rgb="FF000000"/>
            <rFont val="Calibri"/>
            <family val="2"/>
          </rPr>
          <t xml:space="preserve">EECE 2150
</t>
        </r>
        <r>
          <rPr>
            <sz val="11"/>
            <color rgb="FF000000"/>
            <rFont val="Calibri"/>
            <family val="2"/>
          </rPr>
          <t xml:space="preserve">
</t>
        </r>
        <r>
          <rPr>
            <sz val="11"/>
            <color rgb="FF000000"/>
            <rFont val="Calibri"/>
            <family val="2"/>
          </rPr>
          <t xml:space="preserve">Prereqs: GE 1502; 
</t>
        </r>
        <r>
          <rPr>
            <sz val="11"/>
            <color rgb="FF000000"/>
            <rFont val="Calibri"/>
            <family val="2"/>
          </rPr>
          <t xml:space="preserve">
</t>
        </r>
        <r>
          <rPr>
            <sz val="11"/>
            <color rgb="FF000000"/>
            <rFont val="Calibri"/>
            <family val="2"/>
          </rPr>
          <t xml:space="preserve">MATH 2341, PHYS1155/56/57(or 1165/66/67 or 1175/76/77) EECE2140 (These three may be taken concurrently
</t>
        </r>
        <r>
          <rPr>
            <sz val="11"/>
            <color rgb="FF000000"/>
            <rFont val="Calibri"/>
            <family val="2"/>
          </rPr>
          <t xml:space="preserve">
</t>
        </r>
        <r>
          <rPr>
            <sz val="11"/>
            <color rgb="FF000000"/>
            <rFont val="Calibri"/>
            <family val="2"/>
          </rPr>
          <t xml:space="preserve">
</t>
        </r>
        <r>
          <rPr>
            <sz val="11"/>
            <color rgb="FF000000"/>
            <rFont val="Calibri"/>
            <family val="2"/>
          </rPr>
          <t xml:space="preserve">EECE2160
</t>
        </r>
        <r>
          <rPr>
            <sz val="11"/>
            <color rgb="FF000000"/>
            <rFont val="Calibri"/>
            <family val="2"/>
          </rPr>
          <t xml:space="preserve">
</t>
        </r>
        <r>
          <rPr>
            <sz val="11"/>
            <color rgb="FF000000"/>
            <rFont val="Calibri"/>
            <family val="2"/>
          </rPr>
          <t xml:space="preserve">Prereqs: GE 1502; 
</t>
        </r>
        <r>
          <rPr>
            <sz val="11"/>
            <color rgb="FF000000"/>
            <rFont val="Calibri"/>
            <family val="2"/>
          </rPr>
          <t xml:space="preserve">
</t>
        </r>
        <r>
          <rPr>
            <sz val="11"/>
            <color rgb="FF000000"/>
            <rFont val="Calibri"/>
            <family val="2"/>
          </rPr>
          <t xml:space="preserve">EECE 2140 (may be taken concurrently)
</t>
        </r>
        <r>
          <rPr>
            <sz val="11"/>
            <color rgb="FF000000"/>
            <rFont val="Calibri"/>
            <family val="2"/>
          </rPr>
          <t xml:space="preserve">
</t>
        </r>
        <r>
          <rPr>
            <sz val="11"/>
            <color rgb="FF000000"/>
            <rFont val="Calibri"/>
            <family val="2"/>
          </rPr>
          <t>BOTH OFFERED FL-SP</t>
        </r>
      </text>
    </comment>
    <comment ref="B31" authorId="14" shapeId="0" xr:uid="{B9655983-2277-1A4D-A983-ADAE70BC3F0E}">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I31" authorId="2" shapeId="0" xr:uid="{8185335F-09DB-DE4C-A990-CCAD51A5275B}">
      <text>
        <r>
          <rPr>
            <sz val="11"/>
            <color rgb="FF000000"/>
            <rFont val="Calibri"/>
            <family val="2"/>
          </rPr>
          <t xml:space="preserve">EECE 2150
</t>
        </r>
        <r>
          <rPr>
            <sz val="11"/>
            <color rgb="FF000000"/>
            <rFont val="Calibri"/>
            <family val="2"/>
          </rPr>
          <t xml:space="preserve">
</t>
        </r>
        <r>
          <rPr>
            <sz val="11"/>
            <color rgb="FF000000"/>
            <rFont val="Calibri"/>
            <family val="2"/>
          </rPr>
          <t xml:space="preserve">Prereqs: GE 1502; 
</t>
        </r>
        <r>
          <rPr>
            <sz val="11"/>
            <color rgb="FF000000"/>
            <rFont val="Calibri"/>
            <family val="2"/>
          </rPr>
          <t xml:space="preserve">
</t>
        </r>
        <r>
          <rPr>
            <sz val="11"/>
            <color rgb="FF000000"/>
            <rFont val="Calibri"/>
            <family val="2"/>
          </rPr>
          <t xml:space="preserve">MATH 2341, PHYS1155/56/57(or 1165/66/67 or 1175/76/77) EECE2140 (These three may be taken concurrently
</t>
        </r>
        <r>
          <rPr>
            <sz val="11"/>
            <color rgb="FF000000"/>
            <rFont val="Calibri"/>
            <family val="2"/>
          </rPr>
          <t xml:space="preserve">
</t>
        </r>
        <r>
          <rPr>
            <sz val="11"/>
            <color rgb="FF000000"/>
            <rFont val="Calibri"/>
            <family val="2"/>
          </rPr>
          <t xml:space="preserve">
</t>
        </r>
        <r>
          <rPr>
            <sz val="11"/>
            <color rgb="FF000000"/>
            <rFont val="Calibri"/>
            <family val="2"/>
          </rPr>
          <t xml:space="preserve">EECE2160
</t>
        </r>
        <r>
          <rPr>
            <sz val="11"/>
            <color rgb="FF000000"/>
            <rFont val="Calibri"/>
            <family val="2"/>
          </rPr>
          <t xml:space="preserve">
</t>
        </r>
        <r>
          <rPr>
            <sz val="11"/>
            <color rgb="FF000000"/>
            <rFont val="Calibri"/>
            <family val="2"/>
          </rPr>
          <t xml:space="preserve">Prereqs: GE 1502; 
</t>
        </r>
        <r>
          <rPr>
            <sz val="11"/>
            <color rgb="FF000000"/>
            <rFont val="Calibri"/>
            <family val="2"/>
          </rPr>
          <t xml:space="preserve">
</t>
        </r>
        <r>
          <rPr>
            <sz val="11"/>
            <color rgb="FF000000"/>
            <rFont val="Calibri"/>
            <family val="2"/>
          </rPr>
          <t xml:space="preserve">EECE 2140 (may be taken concurrently)
</t>
        </r>
        <r>
          <rPr>
            <sz val="11"/>
            <color rgb="FF000000"/>
            <rFont val="Calibri"/>
            <family val="2"/>
          </rPr>
          <t xml:space="preserve">
</t>
        </r>
        <r>
          <rPr>
            <sz val="11"/>
            <color rgb="FF000000"/>
            <rFont val="Calibri"/>
            <family val="2"/>
          </rPr>
          <t>BOTH OFFERED FL-SP</t>
        </r>
      </text>
    </comment>
    <comment ref="B32" authorId="15" shapeId="0" xr:uid="{CA9DF2A9-73D2-124E-9DFE-B07ECDC0F7A1}">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B33" authorId="2" shapeId="0" xr:uid="{7999973E-DBE0-614E-98C3-6A947231721E}">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I33" authorId="16" shapeId="0" xr:uid="{E6C6831E-D695-1D47-BF46-049CE5328ABE}">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B34" authorId="10" shapeId="0" xr:uid="{BB61C356-DB0C-5E49-9CE7-79B9D5FEC15C}">
      <text>
        <r>
          <rPr>
            <sz val="11"/>
            <color rgb="FF000000"/>
            <rFont val="Calibri"/>
            <family val="2"/>
          </rPr>
          <t xml:space="preserve">Offered FL - SP - SM1
</t>
        </r>
      </text>
    </comment>
    <comment ref="I34" authorId="2" shapeId="0" xr:uid="{E79CA351-41A1-8B40-BB4E-B75D10727A93}">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B35" authorId="17" shapeId="0" xr:uid="{544A8D75-32A7-F243-99E8-B38B77A20797}">
      <text>
        <t xml:space="preserve">[Threaded comment]
Your version of Excel allows you to read this threaded comment; however, any edits to it will get removed if the file is opened in a newer version of Excel. Learn more: https://go.microsoft.com/fwlink/?linkid=870924
Comment:
    Offered FL - SP
Co-Req: CS1800
</t>
      </text>
    </comment>
    <comment ref="D39" authorId="18" shapeId="0" xr:uid="{ADB9D4C4-FC50-E64D-9482-AA7DBBF32507}">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B41" authorId="19" shapeId="0" xr:uid="{1A7896BB-DF97-6048-99CB-8E9CAF131270}">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C41" authorId="2" shapeId="0" xr:uid="{C5484D9B-4C52-0246-83F3-0835FBCB9573}">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D41" authorId="20" shapeId="0" xr:uid="{D1CB336B-EB42-B841-A1D9-A0898EEA37C6}">
      <text>
        <t>[Threaded comment]
Your version of Excel allows you to read this threaded comment; however, any edits to it will get removed if the file is opened in a newer version of Excel. Learn more: https://go.microsoft.com/fwlink/?linkid=870924
Comment:
    Pre-requisites
EECE2322/23 or EECE2540 or EECE2560 or EECE2412/13 or EECE2520 or EEC2530/31 AND Senior Standing
Offered SM 1 / SM2
Students in the summer 1 section will continue capstone 2 in the spring of the following year and students in the summer 2 section will continue capstone 2 in the fall of the same year.</t>
      </text>
    </comment>
    <comment ref="I41" authorId="21" shapeId="0" xr:uid="{02E629E7-7CB6-684B-AB2A-0D7AAAD4A39D}">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B42" authorId="22" shapeId="0" xr:uid="{ABC9F888-1708-EA47-878B-4B2BF3EFB23A}">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E42" authorId="2" shapeId="0" xr:uid="{645810DC-C446-B54E-BDE0-4933948FB4F8}">
      <text>
        <r>
          <rPr>
            <sz val="11"/>
            <color rgb="FF000000"/>
            <rFont val="Calibri"/>
            <family val="2"/>
          </rPr>
          <t xml:space="preserve">Prereq: 
</t>
        </r>
        <r>
          <rPr>
            <sz val="11"/>
            <color rgb="FF000000"/>
            <rFont val="Calibri"/>
            <family val="2"/>
          </rPr>
          <t xml:space="preserve">
</t>
        </r>
        <r>
          <rPr>
            <sz val="11"/>
            <color rgb="FF000000"/>
            <rFont val="Calibri"/>
            <family val="2"/>
          </rPr>
          <t>MATH 2341; EECE 2520</t>
        </r>
      </text>
    </comment>
    <comment ref="I42" authorId="23" shapeId="0" xr:uid="{F4EA0534-0765-DA4F-AAB4-0C35E42ACAEF}">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C43" authorId="2" shapeId="0" xr:uid="{2064A007-7E3D-874B-9A5E-6F14F5F235CB}">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NOTE: All Summer offerings must be confirmed each academic year as these may change.</t>
        </r>
      </text>
    </comment>
    <comment ref="D43" authorId="2" shapeId="0" xr:uid="{22044FC8-D6F8-0A48-BAC6-C9C7B9B5D798}">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E43" authorId="2" shapeId="0" xr:uid="{6908E53C-D95D-D444-BCB1-E11A3E097CD8}">
      <text>
        <r>
          <rPr>
            <sz val="11"/>
            <color rgb="FF000000"/>
            <rFont val="Calibri"/>
            <family val="2"/>
          </rPr>
          <t xml:space="preserve">Prereqs:
</t>
        </r>
        <r>
          <rPr>
            <sz val="11"/>
            <color rgb="FF000000"/>
            <rFont val="Calibri"/>
            <family val="2"/>
          </rPr>
          <t xml:space="preserve">EECE4791
</t>
        </r>
        <r>
          <rPr>
            <sz val="11"/>
            <color rgb="FF000000"/>
            <rFont val="Calibri"/>
            <family val="2"/>
          </rPr>
          <t xml:space="preserve">
</t>
        </r>
        <r>
          <rPr>
            <sz val="11"/>
            <color rgb="FF000000"/>
            <rFont val="Calibri"/>
            <family val="2"/>
          </rPr>
          <t xml:space="preserve">Terms Offered:
</t>
        </r>
        <r>
          <rPr>
            <sz val="11"/>
            <color rgb="FF000000"/>
            <rFont val="Calibri"/>
            <family val="2"/>
          </rPr>
          <t>Fall / Spring</t>
        </r>
      </text>
    </comment>
    <comment ref="B44" authorId="2" shapeId="0" xr:uid="{129C2B07-C911-0041-B675-CDFD82B19DC5}">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D44" authorId="24" shapeId="0" xr:uid="{1FFC02FE-9E7F-9B41-A824-2D524083EAD6}">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E44" authorId="25" shapeId="0" xr:uid="{1E325A69-F24B-D14A-8DF7-8AEA5266C55C}">
      <text>
        <t>[Threaded comment]
Your version of Excel allows you to read this threaded comment; however, any edits to it will get removed if the file is opened in a newer version of Excel. Learn more: https://go.microsoft.com/fwlink/?linkid=870924
Comment:
    Offered FL - SP</t>
      </text>
    </comment>
    <comment ref="E45" authorId="2" shapeId="0" xr:uid="{D974858B-4204-BE4C-AE38-31F624F168AA}">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I52" authorId="26" shapeId="0" xr:uid="{0B8743E6-B6D7-C646-A78B-87F296E1AD3D}">
      <text>
        <t>[Threaded comment]
Your version of Excel allows you to read this threaded comment; however, any edits to it will get removed if the file is opened in a newer version of Excel. Learn more: https://go.microsoft.com/fwlink/?linkid=870924
Comment:
    Offered FL - SP</t>
      </text>
    </comment>
    <comment ref="I53" authorId="27" shapeId="0" xr:uid="{0E20CE6C-2988-2A4D-A39E-024C7EB17727}">
      <text>
        <t>[Threaded comment]
Your version of Excel allows you to read this threaded comment; however, any edits to it will get removed if the file is opened in a newer version of Excel. Learn more: https://go.microsoft.com/fwlink/?linkid=870924
Comment:
    Offered: FL - SP</t>
      </text>
    </comment>
    <comment ref="I60" authorId="28" shapeId="0" xr:uid="{31686828-08F0-4D43-9EE0-889EC003AABD}">
      <text>
        <t>[Threaded comment]
Your version of Excel allows you to read this threaded comment; however, any edits to it will get removed if the file is opened in a newer version of Excel. Learn more: https://go.microsoft.com/fwlink/?linkid=870924
Comment:
    Offered FL - SP</t>
      </text>
    </comment>
    <comment ref="I65" authorId="29" shapeId="0" xr:uid="{AC687A4F-6C97-714C-A110-4A52A77715B0}">
      <text>
        <t>[Threaded comment]
Your version of Excel allows you to read this threaded comment; however, any edits to it will get removed if the file is opened in a newer version of Excel. Learn more: https://go.microsoft.com/fwlink/?linkid=870924
Comment:
    Offered FL - SP - SM1</t>
      </text>
    </comment>
    <comment ref="I72" authorId="30" shapeId="0" xr:uid="{976B397D-E787-184C-880A-26EC527A8EAB}">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I73" authorId="31" shapeId="0" xr:uid="{6634583D-1C42-DA46-AE80-E1594CF38698}">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D99" authorId="32" shapeId="0" xr:uid="{75BFCA01-A411-BD44-83DD-86FDF45E444D}">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B101" authorId="2" shapeId="0" xr:uid="{5B9CF2EB-F62D-1243-AF00-30372C89C0FC}">
      <text>
        <r>
          <rPr>
            <sz val="11"/>
            <color rgb="FF000000"/>
            <rFont val="Calibri"/>
            <family val="2"/>
          </rPr>
          <t xml:space="preserve">Pre-requisites
</t>
        </r>
        <r>
          <rPr>
            <sz val="11"/>
            <color rgb="FF000000"/>
            <rFont val="Calibri"/>
            <family val="2"/>
          </rPr>
          <t xml:space="preserve">EECE2322/23 or EECE2540 or EECE2560 or EECE2412/13 or EECE2520 or EEC2530/31 AND Senior Standing
</t>
        </r>
        <r>
          <rPr>
            <sz val="11"/>
            <color rgb="FF000000"/>
            <rFont val="Calibri"/>
            <family val="2"/>
          </rPr>
          <t xml:space="preserve">
</t>
        </r>
        <r>
          <rPr>
            <sz val="11"/>
            <color rgb="FF000000"/>
            <rFont val="Calibri"/>
            <family val="2"/>
          </rPr>
          <t xml:space="preserve">Offered SM 1 / SM2
</t>
        </r>
        <r>
          <rPr>
            <sz val="11"/>
            <color rgb="FF000000"/>
            <rFont val="Calibri"/>
            <family val="2"/>
          </rPr>
          <t xml:space="preserve">
</t>
        </r>
        <r>
          <rPr>
            <sz val="11"/>
            <color rgb="FF000000"/>
            <rFont val="Calibri"/>
            <family val="2"/>
          </rPr>
          <t>Students in the summer 1 section will continue capstone 2 in the spring of the following year and students in the summer 2 section will continue capstone 2 in the fall of the same year.</t>
        </r>
      </text>
    </comment>
    <comment ref="C101" authorId="2" shapeId="0" xr:uid="{0311DC13-CC87-E646-88E6-8065B2697A60}">
      <text>
        <r>
          <rPr>
            <sz val="11"/>
            <color rgb="FF000000"/>
            <rFont val="Calibri"/>
            <family val="2"/>
          </rPr>
          <t xml:space="preserve">Prereqs:
</t>
        </r>
        <r>
          <rPr>
            <sz val="11"/>
            <color rgb="FF000000"/>
            <rFont val="Calibri"/>
            <family val="2"/>
          </rPr>
          <t xml:space="preserve">EECE4791
</t>
        </r>
        <r>
          <rPr>
            <sz val="11"/>
            <color rgb="FF000000"/>
            <rFont val="Calibri"/>
            <family val="2"/>
          </rPr>
          <t xml:space="preserve">
</t>
        </r>
        <r>
          <rPr>
            <sz val="11"/>
            <color rgb="FF000000"/>
            <rFont val="Calibri"/>
            <family val="2"/>
          </rPr>
          <t xml:space="preserve">Terms Offered:
</t>
        </r>
        <r>
          <rPr>
            <sz val="11"/>
            <color rgb="FF000000"/>
            <rFont val="Calibri"/>
            <family val="2"/>
          </rPr>
          <t>Fall / Spring</t>
        </r>
      </text>
    </comment>
    <comment ref="B102" authorId="2" shapeId="0" xr:uid="{BF1742AA-753B-BC4F-96EE-B85893F7B5C6}">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C102" authorId="2" shapeId="0" xr:uid="{7AF6CDAA-1CFC-CB45-9986-A4B354A6A2D0}">
      <text>
        <r>
          <rPr>
            <sz val="11"/>
            <color rgb="FF000000"/>
            <rFont val="Calibri"/>
            <family val="2"/>
          </rPr>
          <t xml:space="preserve">Prereq: 
</t>
        </r>
        <r>
          <rPr>
            <sz val="11"/>
            <color rgb="FF000000"/>
            <rFont val="Calibri"/>
            <family val="2"/>
          </rPr>
          <t xml:space="preserve">
</t>
        </r>
        <r>
          <rPr>
            <sz val="11"/>
            <color rgb="FF000000"/>
            <rFont val="Calibri"/>
            <family val="2"/>
          </rPr>
          <t>MATH 2341; EECE 2520</t>
        </r>
      </text>
    </comment>
    <comment ref="B103" authorId="2" shapeId="0" xr:uid="{0C4F2DBF-1F7E-1648-8F4C-FE0E7D3B7756}">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NOTE: All Summer offerings must be confirmed each academic year as these may change.</t>
        </r>
      </text>
    </comment>
    <comment ref="C103" authorId="33" shapeId="0" xr:uid="{5B7B98FE-0886-CA4D-A08B-319CE170BA69}">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C104" authorId="2" shapeId="0" xr:uid="{C7769A55-8DA1-5646-9FB2-DEFC74F6568C}">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C105" authorId="34" shapeId="0" xr:uid="{7993979E-468C-9045-B80C-30F608020304}">
      <text>
        <t>[Threaded comment]
Your version of Excel allows you to read this threaded comment; however, any edits to it will get removed if the file is opened in a newer version of Excel. Learn more: https://go.microsoft.com/fwlink/?linkid=870924
Comment:
    Offered FL - SP</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Huff, Liam</author>
    <author>tc={376DBE37-9207-4DC8-8AEE-6F721D42B579}</author>
    <author>tc={D1D7A33D-6AD3-4862-839B-6B2F1F169C6E}</author>
    <author>tc={FFD27901-1C0D-014D-8D6C-3513693560A2}</author>
    <author>tc={C4C973A0-47BF-674B-95DC-9EAF1039F4C9}</author>
    <author>tc={6914524C-0BBB-47D8-A024-6030540BF8AB}</author>
    <author>tc={0A592AB4-B45C-4CEE-ABCC-C88B132AD537}</author>
    <author>tc={30658068-743B-F54C-93BB-548995D975A8}</author>
    <author>tc={B1A0CEA1-75A8-E149-B7E9-26D539EA5462}</author>
    <author>tc={2186E25A-EA9A-F94B-AE78-F97EAD7711CA}</author>
    <author>tc={3151AB8A-E66E-E546-83D0-58B3CAC52938}</author>
    <author>tc={91CDF471-D6FF-CC4D-B6A1-1DEE8C51519A}</author>
    <author>tc={BCCD667D-1799-214B-8BA9-39DD3710CED0}</author>
    <author>tc={05236608-DB42-4E45-ABCF-CB5605A88DC0}</author>
    <author>tc={45E26616-FA4F-3249-A9C5-3638A31D62EF}</author>
    <author>Rakouskas, Russell</author>
    <author>tc={309308CA-CE33-B54A-8CED-D046083D5787}</author>
    <author>tc={35DB8914-62CD-5E45-884E-6A91E6FCFD06}</author>
    <author>tc={B0E57830-9139-6B4A-94B8-3BBFD6424B06}</author>
    <author>tc={56DA5F25-D94A-4547-82E6-02129501CFF8}</author>
    <author>tc={D28E3CC2-C77F-794A-BD1F-2F7598D4E9DA}</author>
    <author>tc={F033BA04-9D20-424E-8251-BE0CB90F9285}</author>
    <author>tc={796961C6-D6E8-44C1-B16D-F34EBBA8D010}</author>
    <author>tc={9F812E9E-B2F5-4CD9-9478-659AB6161DE2}</author>
  </authors>
  <commentList>
    <comment ref="I11" authorId="0" shapeId="0" xr:uid="{669AD0CF-0993-4D3B-9705-64C3CDF0FE36}">
      <text>
        <r>
          <rPr>
            <sz val="11"/>
            <color theme="1"/>
            <rFont val="Calibri"/>
            <family val="2"/>
            <scheme val="minor"/>
          </rPr>
          <t xml:space="preserve">Offered FL - SP
</t>
        </r>
      </text>
    </comment>
    <comment ref="I15" authorId="1" shapeId="0" xr:uid="{376DBE37-9207-4DC8-8AEE-6F721D42B579}">
      <text>
        <t xml:space="preserve">[Threaded comment]
Your version of Excel allows you to read this threaded comment; however, any edits to it will get removed if the file is opened in a newer version of Excel. Learn more: https://go.microsoft.com/fwlink/?linkid=870924
Comment:
    Offered FL - SP
</t>
      </text>
    </comment>
    <comment ref="I16" authorId="2" shapeId="0" xr:uid="{D1D7A33D-6AD3-4862-839B-6B2F1F169C6E}">
      <text>
        <t>[Threaded comment]
Your version of Excel allows you to read this threaded comment; however, any edits to it will get removed if the file is opened in a newer version of Excel. Learn more: https://go.microsoft.com/fwlink/?linkid=870924
Comment:
    Prerequisite:
MATH1341 
Offered: FL - SP - SM1 - SM2</t>
      </text>
    </comment>
    <comment ref="D17" authorId="3" shapeId="0" xr:uid="{FFD27901-1C0D-014D-8D6C-3513693560A2}">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E17" authorId="4" shapeId="0" xr:uid="{C4C973A0-47BF-674B-95DC-9EAF1039F4C9}">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I19" authorId="0" shapeId="0" xr:uid="{9A6CFC52-663E-48F0-83BB-35A981CF87AA}">
      <text>
        <r>
          <rPr>
            <sz val="11"/>
            <color rgb="FF000000"/>
            <rFont val="Calibri"/>
            <family val="2"/>
          </rPr>
          <t xml:space="preserve">Prerequisites:
</t>
        </r>
        <r>
          <rPr>
            <sz val="11"/>
            <color rgb="FF000000"/>
            <rFont val="Calibri"/>
            <family val="2"/>
          </rPr>
          <t xml:space="preserve">
</t>
        </r>
        <r>
          <rPr>
            <sz val="11"/>
            <color rgb="FF000000"/>
            <rFont val="Calibri"/>
            <family val="2"/>
          </rPr>
          <t xml:space="preserve">MATH1341 
</t>
        </r>
        <r>
          <rPr>
            <sz val="11"/>
            <color rgb="FF000000"/>
            <rFont val="Calibri"/>
            <family val="2"/>
          </rPr>
          <t xml:space="preserve">
</t>
        </r>
        <r>
          <rPr>
            <sz val="11"/>
            <color rgb="FF000000"/>
            <rFont val="Calibri"/>
            <family val="2"/>
          </rPr>
          <t xml:space="preserve"> *may be taken concurrently
</t>
        </r>
        <r>
          <rPr>
            <sz val="11"/>
            <color rgb="FF000000"/>
            <rFont val="Calibri"/>
            <family val="2"/>
          </rPr>
          <t xml:space="preserve">
</t>
        </r>
        <r>
          <rPr>
            <sz val="11"/>
            <color rgb="FF000000"/>
            <rFont val="Calibri"/>
            <family val="2"/>
          </rPr>
          <t xml:space="preserve">
</t>
        </r>
        <r>
          <rPr>
            <sz val="11"/>
            <color rgb="FF000000"/>
            <rFont val="Calibri"/>
            <family val="2"/>
          </rPr>
          <t xml:space="preserve">
</t>
        </r>
        <r>
          <rPr>
            <sz val="11"/>
            <color rgb="FF000000"/>
            <rFont val="Calibri"/>
            <family val="2"/>
          </rPr>
          <t xml:space="preserve">Offered: FL - SP - SM1 - SM2
</t>
        </r>
        <r>
          <rPr>
            <sz val="11"/>
            <color rgb="FF000000"/>
            <rFont val="Calibri"/>
            <family val="2"/>
          </rPr>
          <t xml:space="preserve">
</t>
        </r>
      </text>
    </comment>
    <comment ref="I20" authorId="5" shapeId="0" xr:uid="{6914524C-0BBB-47D8-A024-6030540BF8AB}">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Co-Reqs: PHYS1151
</t>
      </text>
    </comment>
    <comment ref="I21" authorId="6" shapeId="0" xr:uid="{0A592AB4-B45C-4CEE-ABCC-C88B132AD537}">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Co-Reqs: PHYS1151
</t>
      </text>
    </comment>
    <comment ref="D27" authorId="7" shapeId="0" xr:uid="{30658068-743B-F54C-93BB-548995D975A8}">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D29" authorId="8" shapeId="0" xr:uid="{B1A0CEA1-75A8-E149-B7E9-26D539EA5462}">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D37" authorId="9" shapeId="0" xr:uid="{2186E25A-EA9A-F94B-AE78-F97EAD7711CA}">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B39" authorId="10" shapeId="0" xr:uid="{3151AB8A-E66E-E546-83D0-58B3CAC52938}">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C39" authorId="11" shapeId="0" xr:uid="{91CDF471-D6FF-CC4D-B6A1-1DEE8C51519A}">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D39" authorId="12" shapeId="0" xr:uid="{BCCD667D-1799-214B-8BA9-39DD3710CED0}">
      <text>
        <t>[Threaded comment]
Your version of Excel allows you to read this threaded comment; however, any edits to it will get removed if the file is opened in a newer version of Excel. Learn more: https://go.microsoft.com/fwlink/?linkid=870924
Comment:
    Pre-requisites
EECE2322/23 or EECE2540 or EECE2560 or EECE2412/13 or EECE2520 or EEC2530/31 AND Senior Standing
Offered SM 1 / SM2
Students in the summer 1 section will continue capstone 2 in the spring of the following year and students in the summer 2 section will continue capstone 2 in the fall of the same year.</t>
      </text>
    </comment>
    <comment ref="B40" authorId="13" shapeId="0" xr:uid="{05236608-DB42-4E45-ABCF-CB5605A88DC0}">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C40" authorId="14" shapeId="0" xr:uid="{45E26616-FA4F-3249-A9C5-3638A31D62EF}">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B41" authorId="0" shapeId="0" xr:uid="{1E64C7A1-A761-0C48-924E-000ED673F623}">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B42" authorId="15" shapeId="0" xr:uid="{913D2300-1AB0-D143-8F7B-FC40591ADADF}">
      <text>
        <r>
          <rPr>
            <sz val="11"/>
            <color rgb="FF000000"/>
            <rFont val="Calibri"/>
            <family val="2"/>
          </rPr>
          <t xml:space="preserve">Offered FL - SP - SM1
</t>
        </r>
      </text>
    </comment>
    <comment ref="C42" authorId="0" shapeId="0" xr:uid="{98F90ACF-781F-1943-B593-3E66D20F5E04}">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B43" authorId="16" shapeId="0" xr:uid="{309308CA-CE33-B54A-8CED-D046083D5787}">
      <text>
        <t xml:space="preserve">[Threaded comment]
Your version of Excel allows you to read this threaded comment; however, any edits to it will get removed if the file is opened in a newer version of Excel. Learn more: https://go.microsoft.com/fwlink/?linkid=870924
Comment:
    Offered FL - SP
Co-Req: CS1800
</t>
      </text>
    </comment>
    <comment ref="C43" authorId="0" shapeId="0" xr:uid="{4AE80B86-30A3-BD4A-95C9-B6D46B3A48DB}">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C44" authorId="17" shapeId="0" xr:uid="{35DB8914-62CD-5E45-884E-6A91E6FCFD06}">
      <text>
        <t>[Threaded comment]
Your version of Excel allows you to read this threaded comment; however, any edits to it will get removed if the file is opened in a newer version of Excel. Learn more: https://go.microsoft.com/fwlink/?linkid=870924
Comment:
    Offered FL - SP</t>
      </text>
    </comment>
    <comment ref="D47" authorId="18" shapeId="0" xr:uid="{B0E57830-9139-6B4A-94B8-3BBFD6424B06}">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B49" authorId="0" shapeId="0" xr:uid="{282E9F39-F42C-114A-AB74-BF80F24713DE}">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C49" authorId="0" shapeId="0" xr:uid="{E6F1E58A-6FFD-6D4E-BD3E-84B6BF739016}">
      <text>
        <r>
          <rPr>
            <sz val="11"/>
            <color rgb="FF000000"/>
            <rFont val="Calibri"/>
            <family val="2"/>
          </rPr>
          <t xml:space="preserve">Prereqs:
</t>
        </r>
        <r>
          <rPr>
            <sz val="11"/>
            <color rgb="FF000000"/>
            <rFont val="Calibri"/>
            <family val="2"/>
          </rPr>
          <t xml:space="preserve">EECE4791
</t>
        </r>
        <r>
          <rPr>
            <sz val="11"/>
            <color rgb="FF000000"/>
            <rFont val="Calibri"/>
            <family val="2"/>
          </rPr>
          <t xml:space="preserve">
</t>
        </r>
        <r>
          <rPr>
            <sz val="11"/>
            <color rgb="FF000000"/>
            <rFont val="Calibri"/>
            <family val="2"/>
          </rPr>
          <t xml:space="preserve">Terms Offered:
</t>
        </r>
        <r>
          <rPr>
            <sz val="11"/>
            <color rgb="FF000000"/>
            <rFont val="Calibri"/>
            <family val="2"/>
          </rPr>
          <t>Fall / Spring</t>
        </r>
      </text>
    </comment>
    <comment ref="B50" authorId="19" shapeId="0" xr:uid="{56DA5F25-D94A-4547-82E6-02129501CFF8}">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C50" authorId="0" shapeId="0" xr:uid="{C1D4A768-717D-CC47-87DD-3CFDF6D10C4B}">
      <text>
        <r>
          <rPr>
            <sz val="11"/>
            <color rgb="FF000000"/>
            <rFont val="Calibri"/>
            <family val="2"/>
          </rPr>
          <t xml:space="preserve">Prereq: 
</t>
        </r>
        <r>
          <rPr>
            <sz val="11"/>
            <color rgb="FF000000"/>
            <rFont val="Calibri"/>
            <family val="2"/>
          </rPr>
          <t xml:space="preserve">
</t>
        </r>
        <r>
          <rPr>
            <sz val="11"/>
            <color rgb="FF000000"/>
            <rFont val="Calibri"/>
            <family val="2"/>
          </rPr>
          <t>MATH 2341; EECE 2520</t>
        </r>
      </text>
    </comment>
    <comment ref="C51" authorId="0" shapeId="0" xr:uid="{61C83A0A-57A7-314F-AB1B-7989F603B6D9}">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NOTE: All Summer offerings must be confirmed each academic year as these may change.</t>
        </r>
      </text>
    </comment>
    <comment ref="B52" authorId="0" shapeId="0" xr:uid="{3A3B0D00-73E6-ED46-A2CB-1311708A5B90}">
      <text>
        <r>
          <rPr>
            <sz val="11"/>
            <color rgb="FF000000"/>
            <rFont val="Calibri"/>
            <family val="2"/>
          </rPr>
          <t xml:space="preserve">Terms Offered: FL - SP - SM1 (Limited) - SM2 (Limited)
</t>
        </r>
        <r>
          <rPr>
            <sz val="11"/>
            <color rgb="FF000000"/>
            <rFont val="Calibri"/>
            <family val="2"/>
          </rPr>
          <t xml:space="preserve">
</t>
        </r>
        <r>
          <rPr>
            <sz val="11"/>
            <color rgb="FF000000"/>
            <rFont val="Calibri"/>
            <family val="2"/>
          </rPr>
          <t xml:space="preserve">Pre-Req/Co-Reqs: VARY BY COURSE
</t>
        </r>
        <r>
          <rPr>
            <sz val="11"/>
            <color rgb="FF000000"/>
            <rFont val="Calibri"/>
            <family val="2"/>
          </rPr>
          <t xml:space="preserve">
</t>
        </r>
        <r>
          <rPr>
            <sz val="11"/>
            <color rgb="FF000000"/>
            <rFont val="Calibri"/>
            <family val="2"/>
          </rPr>
          <t xml:space="preserve">Range of eligible courses listed in Requirements Specific to Electrical Engineering Majors in the catalog and in the Degree Audit.
</t>
        </r>
        <r>
          <rPr>
            <sz val="11"/>
            <color rgb="FF000000"/>
            <rFont val="Calibri"/>
            <family val="2"/>
          </rPr>
          <t xml:space="preserve">
</t>
        </r>
        <r>
          <rPr>
            <sz val="11"/>
            <color rgb="FF000000"/>
            <rFont val="Calibri"/>
            <family val="2"/>
          </rPr>
          <t xml:space="preserve">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t>
        </r>
        <r>
          <rPr>
            <sz val="11"/>
            <color rgb="FF000000"/>
            <rFont val="Calibri"/>
            <family val="2"/>
          </rPr>
          <t xml:space="preserve">
</t>
        </r>
        <r>
          <rPr>
            <sz val="11"/>
            <color rgb="FF000000"/>
            <rFont val="Calibri"/>
            <family val="2"/>
          </rPr>
          <t xml:space="preserve">NOTE: All Summer offerings must be confirmed each academic year as these may change.
</t>
        </r>
      </text>
    </comment>
    <comment ref="C52" authorId="20" shapeId="0" xr:uid="{D28E3CC2-C77F-794A-BD1F-2F7598D4E9DA}">
      <text>
        <t>[Threaded comment]
Your version of Excel allows you to read this threaded comment; however, any edits to it will get removed if the file is opened in a newer version of Excel. Learn more: https://go.microsoft.com/fwlink/?linkid=870924
Comment:
    Offered FL - SP</t>
      </text>
    </comment>
    <comment ref="I60" authorId="21" shapeId="0" xr:uid="{F033BA04-9D20-424E-8251-BE0CB90F9285}">
      <text>
        <t>[Threaded comment]
Your version of Excel allows you to read this threaded comment; however, any edits to it will get removed if the file is opened in a newer version of Excel. Learn more: https://go.microsoft.com/fwlink/?linkid=870924
Comment:
    Offered FL - SP</t>
      </text>
    </comment>
    <comment ref="I72" authorId="22" shapeId="0" xr:uid="{796961C6-D6E8-44C1-B16D-F34EBBA8D010}">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I73" authorId="23" shapeId="0" xr:uid="{9F812E9E-B2F5-4CD9-9478-659AB6161DE2}">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tc={AD8353CC-416F-48D6-86B7-C1026E514B1A}</author>
    <author>tc={4A2DEC71-5AB1-4425-8494-8B296C67CB20}</author>
    <author>tc={94BE5998-7BC1-46FD-A4DE-230D5A594448}</author>
    <author>tc={0562B869-2034-4886-8324-2DF9132DC5DC}</author>
    <author>tc={DF0F9B18-4BBD-4110-8DB4-CDE05B1CB081}</author>
    <author>Huff, Liam</author>
    <author>tc={78CC90D4-742F-4792-AF1D-27C73529F95C}</author>
    <author>tc={555877C4-0C82-46B9-AD55-8ED4E057E5AA}</author>
    <author>tc={92E7D3F9-09B1-4630-9B46-5D7FB8A761D3}</author>
    <author>tc={0F6D7130-88F6-49F5-B55E-8EC7CD9ED489}</author>
    <author>tc={21769980-685B-46B2-A7E6-86B23B92B0E6}</author>
    <author>tc={FAC9FB51-D6CB-469B-A679-89DB8476574F}</author>
    <author>tc={C8A8476A-C35C-49B8-AEE9-D26E3E61616B}</author>
    <author>tc={201ED5A3-0F18-43F6-BA2F-CCA3E8DEE90A}</author>
    <author>Rakouskas, Russell</author>
    <author>tc={F7AFE81A-CEA0-4301-A994-8D3C60A8FCB9}</author>
    <author>tc={720EA1A7-086F-4C60-AFB6-F42BDA4CCF7A}</author>
    <author>tc={8C2BBFAB-0EF6-47E0-A083-9144635C9499}</author>
    <author>tc={5503DEDB-68DB-4B58-813B-CB4608B61DAD}</author>
    <author>tc={13F42AD9-7360-46A2-8C7B-B5B6E2BBDFB9}</author>
    <author>tc={D46508B5-259B-4ECC-89B3-8C798CF89709}</author>
    <author>tc={57D0DB39-BDCC-49C3-A919-59D94EB3C2A8}</author>
    <author>tc={FEE7F5BD-68F3-4878-86E1-0A228630D7CE}</author>
    <author>tc={D6161FB2-1B6A-41CC-A028-ABEA76D7B5EA}</author>
    <author>tc={B50097FB-401E-445C-BC00-6C71CBF410C4}</author>
    <author>tc={AFE68D6C-71AA-4A18-9337-8BE3AB36D7FC}</author>
    <author>tc={5B71F489-B1ED-4307-B04E-B42364FD7B62}</author>
    <author>tc={BAA2AF49-9EB5-4995-938A-DDC2A9C78AE0}</author>
    <author>tc={3D915DA6-0908-4106-9278-DD075036519E}</author>
    <author>tc={10DDB165-D063-4933-8252-50536E022F9C}</author>
  </authors>
  <commentList>
    <comment ref="D9" authorId="0" shapeId="0" xr:uid="{00000000-0006-0000-0200-000001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E9" authorId="1" shapeId="0" xr:uid="{00000000-0006-0000-0200-000002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B11" authorId="2" shapeId="0" xr:uid="{00000000-0006-0000-0200-000003000000}">
      <text>
        <t xml:space="preserve">[Threaded comment]
Your version of Excel allows you to read this threaded comment; however, any edits to it will get removed if the file is opened in a newer version of Excel. Learn more: https://go.microsoft.com/fwlink/?linkid=870924
Comment:
    Offered FL - SP
</t>
      </text>
    </comment>
    <comment ref="C11" authorId="3" shapeId="0" xr:uid="{00000000-0006-0000-0200-000004000000}">
      <text>
        <t>[Threaded comment]
Your version of Excel allows you to read this threaded comment; however, any edits to it will get removed if the file is opened in a newer version of Excel. Learn more: https://go.microsoft.com/fwlink/?linkid=870924
Comment:
    Prerequisite:
MATH1341 
Offered: FL - SP - SM1 - SM2</t>
      </text>
    </comment>
    <comment ref="D11" authorId="4" shapeId="0" xr:uid="{00000000-0006-0000-0200-000005000000}">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Pre-Req: MATH1342
</t>
      </text>
    </comment>
    <comment ref="B12" authorId="5" shapeId="0" xr:uid="{88BF06E3-2038-4C07-B64D-AC981492BF4A}">
      <text>
        <r>
          <rPr>
            <sz val="11"/>
            <color theme="1"/>
            <rFont val="Calibri"/>
            <family val="2"/>
            <scheme val="minor"/>
          </rPr>
          <t xml:space="preserve">Offered FL - SP
</t>
        </r>
      </text>
    </comment>
    <comment ref="C12" authorId="5" shapeId="0" xr:uid="{CF825BB5-04A8-4A1B-9F13-7DE6663DCEF2}">
      <text>
        <r>
          <rPr>
            <sz val="11"/>
            <color theme="1"/>
            <rFont val="Calibri"/>
            <family val="2"/>
            <scheme val="minor"/>
          </rPr>
          <t xml:space="preserve">Prerequisites:
MATH1341 
 *may be taken concurrently
Offered: FL - SP - SM1 - SM2
</t>
        </r>
      </text>
    </comment>
    <comment ref="C13" authorId="6" shapeId="0" xr:uid="{00000000-0006-0000-0200-000008000000}">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Co-Reqs: PHYS1151
</t>
      </text>
    </comment>
    <comment ref="B14" authorId="7" shapeId="0" xr:uid="{00000000-0006-0000-0200-000009000000}">
      <text>
        <t>[Threaded comment]
Your version of Excel allows you to read this threaded comment; however, any edits to it will get removed if the file is opened in a newer version of Excel. Learn more: https://go.microsoft.com/fwlink/?linkid=870924
Comment:
    Offered FL - SP</t>
      </text>
    </comment>
    <comment ref="C14" authorId="8" shapeId="0" xr:uid="{00000000-0006-0000-0200-00000A000000}">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Co-Reqs: PHYS1151
</t>
      </text>
    </comment>
    <comment ref="B15" authorId="9" shapeId="0" xr:uid="{00000000-0006-0000-0200-00000B000000}">
      <text>
        <t>[Threaded comment]
Your version of Excel allows you to read this threaded comment; however, any edits to it will get removed if the file is opened in a newer version of Excel. Learn more: https://go.microsoft.com/fwlink/?linkid=870924
Comment:
    Offered FL - SP</t>
      </text>
    </comment>
    <comment ref="C15" authorId="10" shapeId="0" xr:uid="{00000000-0006-0000-0200-00000C000000}">
      <text>
        <t>[Threaded comment]
Your version of Excel allows you to read this threaded comment; however, any edits to it will get removed if the file is opened in a newer version of Excel. Learn more: https://go.microsoft.com/fwlink/?linkid=870924
Comment:
    Offered: FL - SP</t>
      </text>
    </comment>
    <comment ref="B16" authorId="11" shapeId="0" xr:uid="{00000000-0006-0000-0200-00000D000000}">
      <text>
        <t>[Threaded comment]
Your version of Excel allows you to read this threaded comment; however, any edits to it will get removed if the file is opened in a newer version of Excel. Learn more: https://go.microsoft.com/fwlink/?linkid=870924
Comment:
    Offered FL - SP - SM1</t>
      </text>
    </comment>
    <comment ref="C16" authorId="12" shapeId="0" xr:uid="{00000000-0006-0000-0200-00000E000000}">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D19" authorId="13" shapeId="0" xr:uid="{00000000-0006-0000-0200-00000F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B21" authorId="5" shapeId="0" xr:uid="{0E7F827F-DE89-48A8-8C84-E29EE770114E}">
      <text>
        <r>
          <rPr>
            <sz val="11"/>
            <color theme="1"/>
            <rFont val="Calibri"/>
            <family val="2"/>
            <scheme val="minor"/>
          </rPr>
          <t xml:space="preserve">Terms Offered: FL - SP - SM1 - SM2
Pre-Req: MATH1342 </t>
        </r>
      </text>
    </comment>
    <comment ref="C21" authorId="14" shapeId="0" xr:uid="{0A25A7BA-BFEA-4185-ACCC-A69232516FE4}">
      <text>
        <r>
          <rPr>
            <sz val="11"/>
            <color theme="1"/>
            <rFont val="Calibri"/>
            <family val="2"/>
            <scheme val="minor"/>
          </rPr>
          <t xml:space="preserve">Offered FL - SP - SM1
</t>
        </r>
      </text>
    </comment>
    <comment ref="B22" authorId="14" shapeId="0" xr:uid="{00000000-0006-0000-0200-000012000000}">
      <text>
        <r>
          <rPr>
            <b/>
            <sz val="9"/>
            <color indexed="81"/>
            <rFont val="Tahoma"/>
            <family val="2"/>
          </rPr>
          <t>Prerequisites:
PHYS1151
MATH1342 (may be taken concurrently)
Offered: FL - SP - SM1</t>
        </r>
      </text>
    </comment>
    <comment ref="C22" authorId="15" shapeId="0" xr:uid="{00000000-0006-0000-0200-000013000000}">
      <text>
        <t xml:space="preserve">[Threaded comment]
Your version of Excel allows you to read this threaded comment; however, any edits to it will get removed if the file is opened in a newer version of Excel. Learn more: https://go.microsoft.com/fwlink/?linkid=870924
Comment:
    Offered FL - SP
Co-Req: CS1800
</t>
      </text>
    </comment>
    <comment ref="B23" authorId="16" shapeId="0" xr:uid="{00000000-0006-0000-0200-000014000000}">
      <text>
        <t xml:space="preserve">[Threaded comment]
Your version of Excel allows you to read this threaded comment; however, any edits to it will get removed if the file is opened in a newer version of Excel. Learn more: https://go.microsoft.com/fwlink/?linkid=870924
Comment:
    Terms Offered: FL - SP - SM1
Co-Req: PHYS1155
</t>
      </text>
    </comment>
    <comment ref="C23" authorId="5" shapeId="0" xr:uid="{AA8FEB5E-7716-4B94-B36C-E2D0A30B5BD6}">
      <text>
        <r>
          <rPr>
            <sz val="11"/>
            <color theme="1"/>
            <rFont val="Calibri"/>
            <family val="2"/>
            <scheme val="minor"/>
          </rPr>
          <t>EECE 2150
Prereqs: GE 1502; 
MATH 2341, PHYS1155/56/57(or 1165/66/67 or 1175/76/77) EECE2140 (These three may be taken concurrently
EECE2160
Prereqs: GE 1502; 
EECE 2140 (may be taken concurrently)
BOTH OFFERED FL-SP</t>
        </r>
      </text>
    </comment>
    <comment ref="B24" authorId="17" shapeId="0" xr:uid="{00000000-0006-0000-0200-000016000000}">
      <text>
        <t xml:space="preserve">[Threaded comment]
Your version of Excel allows you to read this threaded comment; however, any edits to it will get removed if the file is opened in a newer version of Excel. Learn more: https://go.microsoft.com/fwlink/?linkid=870924
Comment:
    Terms Offered: FL - SP - SM1
Co-Req: PHYS1155
</t>
      </text>
    </comment>
    <comment ref="C24" authorId="18" shapeId="0" xr:uid="{00000000-0006-0000-0200-000017000000}">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B25" authorId="5" shapeId="0" xr:uid="{B0D913B5-4AFA-49C1-8DDB-D3BBC91437D2}">
      <text>
        <r>
          <rPr>
            <sz val="11"/>
            <color theme="1"/>
            <rFont val="Calibri"/>
            <family val="2"/>
            <scheme val="minor"/>
          </rPr>
          <t>EECE 2150
Prereqs: GE 1502; 
MATH 2341, PHYS1155/56/57(or 1165/66/67 or 1175/76/77) EECE2140 (These three may be taken concurrently
EECE2160
Prereqs: GE 1502; 
EECE 2140 (may be taken concurrently)
BOTH OFFERED FL-SP</t>
        </r>
      </text>
    </comment>
    <comment ref="C25" authorId="19" shapeId="0" xr:uid="{00000000-0006-0000-0200-000019000000}">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B26" authorId="5" shapeId="0" xr:uid="{DA868908-DE6E-489A-A322-B2AD355B8A01}">
      <text>
        <r>
          <rPr>
            <sz val="11"/>
            <color theme="1"/>
            <rFont val="Calibri"/>
            <family val="2"/>
            <scheme val="minor"/>
          </rPr>
          <t xml:space="preserve">Terms Offered: FL - SP
Pre-Req/Co-reqs: NONE
Computing fundamentals (EECE 2140) may be taken year 1 in place of a general elective for students interested in extra preparation for co-ops involving computer hardware
</t>
        </r>
      </text>
    </comment>
    <comment ref="D29" authorId="20" shapeId="0" xr:uid="{00000000-0006-0000-0200-00001B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C31" authorId="21" shapeId="0" xr:uid="{00000000-0006-0000-0200-00001C000000}">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D31" authorId="5" shapeId="0" xr:uid="{59835653-B28D-4FDE-8955-327EB6087E29}">
      <text>
        <r>
          <rPr>
            <sz val="11"/>
            <color theme="1"/>
            <rFont val="Calibri"/>
            <family val="2"/>
            <scheme val="minor"/>
          </rPr>
          <t>Pre-requisites
EECE2322/23 or EECE2540 or EECE2560 or EECE2412/13 or EECE2520 or EEC2530/31 AND Senior Standing
Offered SM 1 / SM2
Students in the summer 1 section will continue capstone 2 in the spring of the following year and students in the summer 2 section will continue capstone 2 in the fall of the same year.</t>
        </r>
      </text>
    </comment>
    <comment ref="C32" authorId="22" shapeId="0" xr:uid="{00000000-0006-0000-0200-00001D000000}">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D32" authorId="5" shapeId="0" xr:uid="{78B36B10-8941-4383-9FC9-99CD8994B59E}">
      <text>
        <r>
          <rPr>
            <sz val="11"/>
            <color theme="1"/>
            <rFont val="Calibri"/>
            <family val="2"/>
            <scheme val="minor"/>
          </rPr>
          <t xml:space="preserve">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
</t>
        </r>
      </text>
    </comment>
    <comment ref="C33" authorId="23" shapeId="0" xr:uid="{00000000-0006-0000-0200-00001E000000}">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C34" authorId="24" shapeId="0" xr:uid="{B50097FB-401E-445C-BC00-6C71CBF410C4}">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C35" authorId="25" shapeId="0" xr:uid="{AFE68D6C-71AA-4A18-9337-8BE3AB36D7FC}">
      <text>
        <t>[Threaded comment]
Your version of Excel allows you to read this threaded comment; however, any edits to it will get removed if the file is opened in a newer version of Excel. Learn more: https://go.microsoft.com/fwlink/?linkid=870924
Comment:
    Offered FL - SP</t>
      </text>
    </comment>
    <comment ref="D39" authorId="26" shapeId="0" xr:uid="{00000000-0006-0000-0200-000021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B41" authorId="5" shapeId="0" xr:uid="{DA5209A6-58F6-4909-8FE1-42E6BD2C4DFE}">
      <text>
        <r>
          <rPr>
            <sz val="11"/>
            <color theme="1"/>
            <rFont val="Calibri"/>
            <family val="2"/>
            <scheme val="minor"/>
          </rPr>
          <t>Prereq: 
MATH 2341; EECE 2520</t>
        </r>
      </text>
    </comment>
    <comment ref="C41" authorId="5" shapeId="0" xr:uid="{1357088D-6B4A-4C79-BDAF-B0294DF79885}">
      <text>
        <r>
          <rPr>
            <sz val="11"/>
            <color theme="1"/>
            <rFont val="Calibri"/>
            <family val="2"/>
            <scheme val="minor"/>
          </rPr>
          <t>Prereqs:
EECE4791
Terms Offered:
Fall / Spring</t>
        </r>
      </text>
    </comment>
    <comment ref="B42" authorId="27" shapeId="0" xr:uid="{00000000-0006-0000-0200-000022000000}">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C42" authorId="5" shapeId="0" xr:uid="{68642DE7-394E-4EE2-A26D-1CA8C3D4B4F2}">
      <text>
        <r>
          <rPr>
            <sz val="11"/>
            <color theme="1"/>
            <rFont val="Calibri"/>
            <family val="2"/>
            <scheme val="minor"/>
          </rPr>
          <t>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t>
        </r>
      </text>
    </comment>
    <comment ref="B43" authorId="28" shapeId="0" xr:uid="{00000000-0006-0000-0200-000023000000}">
      <text>
        <t xml:space="preserve">[Threaded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
      </text>
    </comment>
    <comment ref="C43" authorId="5" shapeId="0" xr:uid="{1AB74D08-8CDE-46D3-8DE8-8A571DAB14AA}">
      <text>
        <r>
          <rPr>
            <sz val="11"/>
            <color theme="1"/>
            <rFont val="Calibri"/>
            <family val="2"/>
            <scheme val="minor"/>
          </rPr>
          <t xml:space="preserve">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
</t>
        </r>
      </text>
    </comment>
    <comment ref="B44" authorId="5" shapeId="0" xr:uid="{021B2B79-5DF2-4AD8-BD6A-A4B127ACB06C}">
      <text>
        <r>
          <rPr>
            <sz val="11"/>
            <color theme="1"/>
            <rFont val="Calibri"/>
            <family val="2"/>
            <scheme val="minor"/>
          </rPr>
          <t xml:space="preserve">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
</t>
        </r>
      </text>
    </comment>
    <comment ref="C44" authorId="29" shapeId="0" xr:uid="{00000000-0006-0000-0200-000024000000}">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tc={AD8353CC-416F-48D5-86B7-C1026E514B1A}</author>
    <author>tc={4A2DEC71-5AB1-4424-8494-8B296C67CB20}</author>
    <author>tc={94BE5998-7BC1-46FC-A4DE-230D5A594448}</author>
    <author>tc={0562B869-2034-4885-8324-2DF9132DC5DC}</author>
    <author>Huff, Liam</author>
    <author>tc={78CC90D4-742F-4791-AF1D-27C73529F95C}</author>
    <author>tc={555877C4-0C82-46B8-AD55-8ED4E057E5AA}</author>
    <author>tc={92E7D3F9-09B1-462F-9B46-5D7FB8A761D3}</author>
    <author>tc={0F6D7130-88F6-49F4-B55E-8EC7CD9ED489}</author>
    <author>tc={21769980-685B-46B1-A7E6-86B23B92B0E6}</author>
    <author>tc={FAC9FB51-D6CB-469A-A679-89DB8476574F}</author>
    <author>tc={C8A8476A-C35C-49B7-AEE9-D26E3E61616B}</author>
    <author>tc={201ED5A3-0F18-43F5-BA2F-CCA3E8DEE90A}</author>
    <author>tc={DF0F9B18-4BBD-410F-8DB4-CDE05B1CB081}</author>
    <author>Rakouskas, Russell</author>
    <author>tc={F7AFE81A-CEA0-4300-A994-8D3C60A8FCB9}</author>
    <author>tc={720EA1A7-086F-4C5F-AFB6-F42BDA4CCF7A}</author>
    <author>tc={8C2BBFAB-0EF6-47DF-A083-9144635C9499}</author>
    <author>tc={5503DEDB-68DB-4B57-813B-CB4608B61DAD}</author>
    <author>tc={D46508B5-259B-4ECB-89B3-8C798CF89709}</author>
    <author>tc={57D0DB39-BDCC-49C2-A919-59D94EB3C2A8}</author>
    <author>Pons, Taylor</author>
    <author>tc={FEE7F5BD-68F3-4877-86E1-0A228630D7CE}</author>
    <author>tc={D6161FB2-1B6A-41CB-A028-ABEA76D7B5EA}</author>
    <author>tc={13F42AD9-7360-46A1-8C7B-B5B6E2BBDFB9}</author>
    <author>tc={3D915DA6-0908-4105-9278-DD075036519E}</author>
    <author>tc={5B71F489-B1ED-4306-B04E-B42364FD7B62}</author>
    <author>tc={BAA2AF49-9EB5-4994-938A-DDC2A9C78AE0}</author>
    <author>tc={ADCC8CE6-0C29-4F0C-8C23-01F87936BBDA}</author>
    <author>tc={897B4DCF-4ED1-415C-A51F-7858E8F3A9A8}</author>
    <author>tc={981CA717-533D-49EC-A71A-EBFD89E73D5C}</author>
    <author>tc={3FAE9908-C9D1-4D85-9A17-00115D50F348}</author>
    <author>tc={10DDB165-D063-4932-8252-50536E022F9C}</author>
  </authors>
  <commentList>
    <comment ref="D9"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E9" authorId="1" shapeId="0" xr:uid="{00000000-0006-0000-0000-000002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B11" authorId="2" shapeId="0" xr:uid="{00000000-0006-0000-0000-000003000000}">
      <text>
        <t xml:space="preserve">[Threaded comment]
Your version of Excel allows you to read this threaded comment; however, any edits to it will get removed if the file is opened in a newer version of Excel. Learn more: https://go.microsoft.com/fwlink/?linkid=870924
Comment:
    Offered FL - SP
</t>
      </text>
    </comment>
    <comment ref="C11"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Prerequisite:
MATH1341 
Offered: FL - SP - SM1 - SM2</t>
      </text>
    </comment>
    <comment ref="B12" authorId="4" shapeId="0" xr:uid="{9606AB1F-9288-44EC-A734-CF10F365F1D6}">
      <text>
        <r>
          <rPr>
            <sz val="11"/>
            <color theme="1"/>
            <rFont val="Calibri"/>
            <family val="2"/>
            <scheme val="minor"/>
          </rPr>
          <t xml:space="preserve">Offered FL - SP - SU1
</t>
        </r>
      </text>
    </comment>
    <comment ref="C12" authorId="4" shapeId="0" xr:uid="{91E58DE5-18B0-483D-B263-34EE6CC81DCD}">
      <text>
        <r>
          <rPr>
            <sz val="11"/>
            <color theme="1"/>
            <rFont val="Calibri"/>
            <family val="2"/>
            <scheme val="minor"/>
          </rPr>
          <t xml:space="preserve">Prerequisites:
MATH1341 
 *may be taken concurrently
Offered: FL - SP - SM1 - SM2
</t>
        </r>
      </text>
    </comment>
    <comment ref="C13" authorId="5" shapeId="0" xr:uid="{00000000-0006-0000-0000-000007000000}">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Co-Reqs: PHYS1151
</t>
      </text>
    </comment>
    <comment ref="B14" authorId="6" shapeId="0" xr:uid="{00000000-0006-0000-0000-000008000000}">
      <text>
        <t>[Threaded comment]
Your version of Excel allows you to read this threaded comment; however, any edits to it will get removed if the file is opened in a newer version of Excel. Learn more: https://go.microsoft.com/fwlink/?linkid=870924
Comment:
    Offered FL - SP</t>
      </text>
    </comment>
    <comment ref="C14" authorId="7" shapeId="0" xr:uid="{00000000-0006-0000-0000-000009000000}">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Co-Reqs: PHYS1151
</t>
      </text>
    </comment>
    <comment ref="B15" authorId="8" shapeId="0" xr:uid="{00000000-0006-0000-0000-00000A000000}">
      <text>
        <t>[Threaded comment]
Your version of Excel allows you to read this threaded comment; however, any edits to it will get removed if the file is opened in a newer version of Excel. Learn more: https://go.microsoft.com/fwlink/?linkid=870924
Comment:
    Offered FL - SP</t>
      </text>
    </comment>
    <comment ref="C15" authorId="9" shapeId="0" xr:uid="{00000000-0006-0000-0000-00000B000000}">
      <text>
        <t>[Threaded comment]
Your version of Excel allows you to read this threaded comment; however, any edits to it will get removed if the file is opened in a newer version of Excel. Learn more: https://go.microsoft.com/fwlink/?linkid=870924
Comment:
    Offered: FL - SP</t>
      </text>
    </comment>
    <comment ref="B16" authorId="10" shapeId="0" xr:uid="{00000000-0006-0000-0000-00000C000000}">
      <text>
        <t>[Threaded comment]
Your version of Excel allows you to read this threaded comment; however, any edits to it will get removed if the file is opened in a newer version of Excel. Learn more: https://go.microsoft.com/fwlink/?linkid=870924
Comment:
    Offered FL - SP - SM1 - SM2</t>
      </text>
    </comment>
    <comment ref="C16" authorId="11" shapeId="0" xr:uid="{00000000-0006-0000-0000-00000D000000}">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D19" authorId="12" shapeId="0" xr:uid="{00000000-0006-0000-0000-00000E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B21" authorId="13" shapeId="0" xr:uid="{00000000-0006-0000-0000-00000F000000}">
      <text>
        <t xml:space="preserve">[Threaded comment]
Your version of Excel allows you to read this threaded comment; however, any edits to it will get removed if the file is opened in a newer version of Excel. Learn more: https://go.microsoft.com/fwlink/?linkid=870924
Comment:
    Terms Offered: FL - SP - SM1 - SM2
Pre-Req: MATH1342
</t>
      </text>
    </comment>
    <comment ref="C21" authorId="14" shapeId="0" xr:uid="{1FC800D7-0404-41BA-A8F8-222050AB6888}">
      <text>
        <r>
          <rPr>
            <sz val="11"/>
            <color theme="1"/>
            <rFont val="Calibri"/>
            <family val="2"/>
            <scheme val="minor"/>
          </rPr>
          <t xml:space="preserve">Offered FL - SP - SM1
</t>
        </r>
      </text>
    </comment>
    <comment ref="B22" authorId="14" shapeId="0" xr:uid="{00000000-0006-0000-0000-000011000000}">
      <text>
        <r>
          <rPr>
            <b/>
            <sz val="9"/>
            <color indexed="81"/>
            <rFont val="Tahoma"/>
            <family val="2"/>
          </rPr>
          <t>Prerequisites:
PHYS1151
MATH1342 (may be taken concurrently)
Offered: FL - SP - SM1</t>
        </r>
      </text>
    </comment>
    <comment ref="C22" authorId="15" shapeId="0" xr:uid="{00000000-0006-0000-0000-000012000000}">
      <text>
        <t xml:space="preserve">[Threaded comment]
Your version of Excel allows you to read this threaded comment; however, any edits to it will get removed if the file is opened in a newer version of Excel. Learn more: https://go.microsoft.com/fwlink/?linkid=870924
Comment:
    Offered FL - SP
Co-Req: CS1800
</t>
      </text>
    </comment>
    <comment ref="B23" authorId="16" shapeId="0" xr:uid="{00000000-0006-0000-0000-000013000000}">
      <text>
        <t xml:space="preserve">[Threaded comment]
Your version of Excel allows you to read this threaded comment; however, any edits to it will get removed if the file is opened in a newer version of Excel. Learn more: https://go.microsoft.com/fwlink/?linkid=870924
Comment:
    Terms Offered: FL - SP - SM1
Co-Req: PHYS1155
</t>
      </text>
    </comment>
    <comment ref="C23" authorId="4" shapeId="0" xr:uid="{8B8DA48E-DA2B-4668-9284-73C072F4EC45}">
      <text>
        <r>
          <rPr>
            <sz val="11"/>
            <color theme="1"/>
            <rFont val="Calibri"/>
            <family val="2"/>
            <scheme val="minor"/>
          </rPr>
          <t xml:space="preserve">Terms Offered: FL - SP - SM1 - SM2
Pre-Req: MATH1342 </t>
        </r>
      </text>
    </comment>
    <comment ref="B24" authorId="17" shapeId="0" xr:uid="{00000000-0006-0000-0000-000015000000}">
      <text>
        <t xml:space="preserve">[Threaded comment]
Your version of Excel allows you to read this threaded comment; however, any edits to it will get removed if the file is opened in a newer version of Excel. Learn more: https://go.microsoft.com/fwlink/?linkid=870924
Comment:
    Terms Offered: FL - SP - SM1
Co-Req: PHYS1155
</t>
      </text>
    </comment>
    <comment ref="B25" authorId="4" shapeId="0" xr:uid="{BDEF0F92-F167-4172-A88C-2DE254A62668}">
      <text>
        <r>
          <rPr>
            <sz val="11"/>
            <color theme="1"/>
            <rFont val="Calibri"/>
            <family val="2"/>
            <scheme val="minor"/>
          </rPr>
          <t>EECE 2150
Prereqs: GE 1502; 
MATH 2341, PHYS1155/56/57(or 1165/66/67 or 1175/76/77) EECE2140 (These three may be taken concurrently
EECE2160
Prereqs: GE 1502; 
EECE 2140 (may be taken concurrently)
BOTH OFFERED FL-SP</t>
        </r>
      </text>
    </comment>
    <comment ref="C25" authorId="4" shapeId="0" xr:uid="{F3B669D9-C2B9-4710-BA33-834E83E99290}">
      <text>
        <r>
          <rPr>
            <sz val="11"/>
            <color theme="1"/>
            <rFont val="Calibri"/>
            <family val="2"/>
            <scheme val="minor"/>
          </rPr>
          <t>EECE 2150
Prereqs: GE 1502; 
MATH 2341, PHYS1155/56/57(or 1165/66/67 or 1175/76/77) EECE2140 (These three may be taken concurrently
EECE2160
Prereqs: GE 1502; 
EECE 2140 (may be taken concurrently)
BOTH OFFERED FL-SP</t>
        </r>
      </text>
    </comment>
    <comment ref="B26" authorId="4" shapeId="0" xr:uid="{7658677F-B8AB-4425-9ED3-20EC3D8D34FE}">
      <text>
        <r>
          <rPr>
            <sz val="11"/>
            <color theme="1"/>
            <rFont val="Calibri"/>
            <family val="2"/>
            <scheme val="minor"/>
          </rPr>
          <t xml:space="preserve">Terms Offered: FL - SP
Pre-Req/Co-reqs: NONE
Computing fundamentals (EECE 2140) may be taken year 1 in place of a general elective for students interested in extra preparation for co-ops involving computer hardware
</t>
        </r>
      </text>
    </comment>
    <comment ref="C26" authorId="18" shapeId="0" xr:uid="{00000000-0006-0000-0000-000019000000}">
      <text>
        <t>[Threaded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
      </text>
    </comment>
    <comment ref="D29" authorId="19" shapeId="0" xr:uid="{00000000-0006-0000-0000-00001A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C31" authorId="20" shapeId="0" xr:uid="{00000000-0006-0000-0000-00001B000000}">
      <text>
        <t>[Threaded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
      </text>
    </comment>
    <comment ref="D31" authorId="21" shapeId="0" xr:uid="{CB1AA29C-A07D-4423-8E6E-134AEA723282}">
      <text>
        <r>
          <rPr>
            <sz val="11"/>
            <color theme="1"/>
            <rFont val="Calibri"/>
            <family val="2"/>
            <scheme val="minor"/>
          </rPr>
          <t>Pre-reqs: ENGW1111
FL - SP - SU1 - SU2</t>
        </r>
      </text>
    </comment>
    <comment ref="C32" authorId="22" shapeId="0" xr:uid="{00000000-0006-0000-0000-00001C000000}">
      <text>
        <t>[Threaded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
      </text>
    </comment>
    <comment ref="C33" authorId="23" shapeId="0" xr:uid="{00000000-0006-0000-0000-00001D000000}">
      <text>
        <t>[Threaded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
      </text>
    </comment>
    <comment ref="D33" authorId="24" shapeId="0" xr:uid="{00000000-0006-0000-0000-00001E000000}">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C34" authorId="25" shapeId="0" xr:uid="{00000000-0006-0000-0000-00001F000000}">
      <text>
        <t>[Threaded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
      </text>
    </comment>
    <comment ref="D39" authorId="26" shapeId="0" xr:uid="{00000000-0006-0000-0000-000020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C41" authorId="27" shapeId="0" xr:uid="{00000000-0006-0000-0000-000022000000}">
      <text>
        <t>[Threaded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
      </text>
    </comment>
    <comment ref="D41" authorId="4" shapeId="0" xr:uid="{679D2A7C-3A84-403E-AD86-BDD22E4050CD}">
      <text>
        <r>
          <rPr>
            <sz val="11"/>
            <color theme="1"/>
            <rFont val="Calibri"/>
            <family val="2"/>
            <scheme val="minor"/>
          </rPr>
          <t>Pre-requisites
EECE2322/23 or EECE2540 or EECE2560 or EECE2412/13 or EECE2520 or EEC2530/31 AND Senior Standing
Offered SM 1 / SM2
Students in the summer 1 section will continue capstone 2 in the spring of the following year and students in the summer 2 section will continue capstone 2 in the fall of the same year.</t>
        </r>
      </text>
    </comment>
    <comment ref="C42" authorId="4" shapeId="0" xr:uid="{357BB8C4-0A34-42AC-BB52-7A1F93FFC984}">
      <text>
        <r>
          <rPr>
            <sz val="11"/>
            <color theme="1"/>
            <rFont val="Calibri"/>
            <family val="2"/>
            <scheme val="minor"/>
          </rPr>
          <t xml:space="preserve">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
</t>
        </r>
      </text>
    </comment>
    <comment ref="D42" authorId="4" shapeId="0" xr:uid="{15CD0E1C-6EE9-491F-9985-AC58CB44EDF5}">
      <text>
        <r>
          <rPr>
            <sz val="11"/>
            <color theme="1"/>
            <rFont val="Calibri"/>
            <family val="2"/>
            <scheme val="minor"/>
          </rPr>
          <t>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t>
        </r>
      </text>
    </comment>
    <comment ref="C43" authorId="4" shapeId="0" xr:uid="{65A88E46-1A80-4D87-9B38-F3B06C413B89}">
      <text>
        <r>
          <rPr>
            <sz val="11"/>
            <color theme="1"/>
            <rFont val="Calibri"/>
            <family val="2"/>
            <scheme val="minor"/>
          </rPr>
          <t xml:space="preserve">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
</t>
        </r>
      </text>
    </comment>
    <comment ref="C44" authorId="4" shapeId="0" xr:uid="{12D94761-A9FB-4D7A-A96D-1BCAF9419930}">
      <text>
        <r>
          <rPr>
            <sz val="11"/>
            <color theme="1"/>
            <rFont val="Calibri"/>
            <family val="2"/>
            <scheme val="minor"/>
          </rPr>
          <t>Prereq: 
MATH 2341; EECE 2520</t>
        </r>
      </text>
    </comment>
    <comment ref="C45" authorId="28" shapeId="0" xr:uid="{ADCC8CE6-0C29-4F0C-8C23-01F87936BBDA}">
      <text>
        <t>[Threaded comment]
Your version of Excel allows you to read this threaded comment; however, any edits to it will get removed if the file is opened in a newer version of Excel. Learn more: https://go.microsoft.com/fwlink/?linkid=870924
Comment:
    Offered FL - SP</t>
      </text>
    </comment>
    <comment ref="D49" authorId="29" shapeId="0" xr:uid="{00000000-0006-0000-0000-000023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t>
      </text>
    </comment>
    <comment ref="E49" authorId="30" shapeId="0" xr:uid="{00000000-0006-0000-0000-000024000000}">
      <text>
        <t xml:space="preserve">[Threaded comment]
Your version of Excel allows you to read this threaded comment; however, any edits to it will get removed if the file is opened in a newer version of Excel. Learn more: https://go.microsoft.com/fwlink/?linkid=870924
Comment:
    Full Time Status = 8 credits
(If only taking one course,  students should submit a Petition to Reduce Load via "MyNortheastern&gt;Registrar Forms" AFTER registering)
SM2 Engineering courses offered:
</t>
      </text>
    </comment>
    <comment ref="C51" authorId="4" shapeId="0" xr:uid="{521F6989-F2C9-40D6-8D8E-C3FEA26DAB6C}">
      <text>
        <r>
          <rPr>
            <sz val="11"/>
            <color theme="1"/>
            <rFont val="Calibri"/>
            <family val="2"/>
            <scheme val="minor"/>
          </rPr>
          <t>Prereqs:
EECE4791
Terms Offered:
Fall / Spring</t>
        </r>
      </text>
    </comment>
    <comment ref="C52" authorId="4" shapeId="0" xr:uid="{29E9DFAD-781A-4E1F-8F38-006D17FFBCBE}">
      <text>
        <r>
          <rPr>
            <sz val="11"/>
            <color theme="1"/>
            <rFont val="Calibri"/>
            <family val="2"/>
            <scheme val="minor"/>
          </rPr>
          <t xml:space="preserve">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
</t>
        </r>
      </text>
    </comment>
    <comment ref="C53" authorId="31" shapeId="0" xr:uid="{00000000-0006-0000-0000-000025000000}">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 ref="C54" authorId="32" shapeId="0" xr:uid="{00000000-0006-0000-0000-000026000000}">
      <text>
        <t xml:space="preserve">[Threaded comment]
Your version of Excel allows you to read this threaded comment; however, any edits to it will get removed if the file is opened in a newer version of Excel. Learn more: https://go.microsoft.com/fwlink/?linkid=870924
Comment:
    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Roman, Jose Ivan</author>
    <author>Rakouskas, Russell</author>
    <author>Huff, Liam</author>
    <author>Pons, Taylor</author>
    <author>tc={A585FD99-62EA-493B-B680-4EA63737B403}</author>
  </authors>
  <commentList>
    <comment ref="D9" authorId="0" shapeId="0" xr:uid="{00000000-0006-0000-0100-000001000000}">
      <text>
        <r>
          <rPr>
            <b/>
            <sz val="9"/>
            <color indexed="81"/>
            <rFont val="Tahoma"/>
            <family val="2"/>
          </rPr>
          <t xml:space="preserve">Full Time Status = 8 credits
(If only taking one course,  students should submit a Petition to Reduce Load via "MyNortheastern&gt;Registrar Forms" AFTER registering)
</t>
        </r>
        <r>
          <rPr>
            <sz val="9"/>
            <color indexed="81"/>
            <rFont val="Tahoma"/>
            <family val="2"/>
          </rPr>
          <t xml:space="preserve">
</t>
        </r>
      </text>
    </comment>
    <comment ref="E9" authorId="0" shapeId="0" xr:uid="{00000000-0006-0000-0100-000002000000}">
      <text>
        <r>
          <rPr>
            <b/>
            <sz val="9"/>
            <color indexed="81"/>
            <rFont val="Tahoma"/>
            <family val="2"/>
          </rPr>
          <t xml:space="preserve">Full Time Status = 8 credits
(If only taking one course,  students should submit a Petition to Reduce Load via "MyNortheastern&gt;Registrar Forms" AFTER registering)
</t>
        </r>
        <r>
          <rPr>
            <sz val="9"/>
            <color indexed="81"/>
            <rFont val="Tahoma"/>
            <family val="2"/>
          </rPr>
          <t xml:space="preserve">
</t>
        </r>
      </text>
    </comment>
    <comment ref="B11" authorId="1" shapeId="0" xr:uid="{00000000-0006-0000-0100-000003000000}">
      <text>
        <r>
          <rPr>
            <b/>
            <sz val="9"/>
            <color indexed="81"/>
            <rFont val="Tahoma"/>
            <family val="2"/>
          </rPr>
          <t xml:space="preserve">Offered FL - SP
</t>
        </r>
      </text>
    </comment>
    <comment ref="C11" authorId="1" shapeId="0" xr:uid="{00000000-0006-0000-0100-000004000000}">
      <text>
        <r>
          <rPr>
            <b/>
            <sz val="9"/>
            <color indexed="81"/>
            <rFont val="Tahoma"/>
            <family val="2"/>
          </rPr>
          <t>Prerequisite:
MATH1341 
Offered: FL - SP - SM1 - SM2</t>
        </r>
      </text>
    </comment>
    <comment ref="B12" authorId="2" shapeId="0" xr:uid="{D5E518AE-6B78-4693-9E51-E3B78688B2C7}">
      <text>
        <r>
          <rPr>
            <sz val="11"/>
            <color theme="1"/>
            <rFont val="Calibri"/>
            <family val="2"/>
            <scheme val="minor"/>
          </rPr>
          <t xml:space="preserve">Offered FL - SP - SU1
</t>
        </r>
      </text>
    </comment>
    <comment ref="C12" authorId="2" shapeId="0" xr:uid="{9C46C481-DCFB-4AC0-ABE5-EA7EF6CE070F}">
      <text>
        <r>
          <rPr>
            <sz val="11"/>
            <color theme="1"/>
            <rFont val="Calibri"/>
            <family val="2"/>
            <scheme val="minor"/>
          </rPr>
          <t xml:space="preserve">Prerequisites:
MATH1341 
 *may be taken concurrently
Offered: FL - SP - SM1 - SM2
</t>
        </r>
      </text>
    </comment>
    <comment ref="B14" authorId="1" shapeId="0" xr:uid="{00000000-0006-0000-0100-000007000000}">
      <text>
        <r>
          <rPr>
            <b/>
            <sz val="9"/>
            <color indexed="81"/>
            <rFont val="Tahoma"/>
            <family val="2"/>
          </rPr>
          <t>Offered FL - SP</t>
        </r>
      </text>
    </comment>
    <comment ref="B15" authorId="1" shapeId="0" xr:uid="{00000000-0006-0000-0100-000008000000}">
      <text>
        <r>
          <rPr>
            <b/>
            <sz val="9"/>
            <color indexed="81"/>
            <rFont val="Tahoma"/>
            <family val="2"/>
          </rPr>
          <t>Offered FL - SP</t>
        </r>
      </text>
    </comment>
    <comment ref="C15" authorId="1" shapeId="0" xr:uid="{00000000-0006-0000-0100-000009000000}">
      <text>
        <r>
          <rPr>
            <b/>
            <sz val="9"/>
            <color indexed="81"/>
            <rFont val="Tahoma"/>
            <family val="2"/>
          </rPr>
          <t>Offered: FL - SP</t>
        </r>
      </text>
    </comment>
    <comment ref="B16" authorId="1" shapeId="0" xr:uid="{00000000-0006-0000-0100-00000A000000}">
      <text>
        <r>
          <rPr>
            <b/>
            <sz val="9"/>
            <color indexed="81"/>
            <rFont val="Tahoma"/>
            <family val="2"/>
          </rPr>
          <t>Offered FL - SP - SM1</t>
        </r>
      </text>
    </comment>
    <comment ref="C16" authorId="1" shapeId="0" xr:uid="{00000000-0006-0000-0100-00000B000000}">
      <text>
        <r>
          <rPr>
            <b/>
            <sz val="9"/>
            <color indexed="81"/>
            <rFont val="Tahoma"/>
            <family val="2"/>
          </rPr>
          <t>Semester offerings vary. Check course schedule. General Electives must be 4-credit courses that don't appear in the General Elective Exclusions list (click tab below to view the worksheet).</t>
        </r>
      </text>
    </comment>
    <comment ref="E19" authorId="0" shapeId="0" xr:uid="{00000000-0006-0000-0100-00000C000000}">
      <text>
        <r>
          <rPr>
            <b/>
            <sz val="9"/>
            <color indexed="81"/>
            <rFont val="Tahoma"/>
            <family val="2"/>
          </rPr>
          <t xml:space="preserve">Full Time Status = 8 credits
(If only taking one course,  students should submit a Petition to Reduce Load via "MyNortheastern&gt;Registrar Forms" AFTER registering)
</t>
        </r>
        <r>
          <rPr>
            <sz val="9"/>
            <color indexed="81"/>
            <rFont val="Tahoma"/>
            <family val="2"/>
          </rPr>
          <t xml:space="preserve">
</t>
        </r>
      </text>
    </comment>
    <comment ref="B21" authorId="1" shapeId="0" xr:uid="{00000000-0006-0000-0100-00000D000000}">
      <text>
        <r>
          <rPr>
            <b/>
            <sz val="9"/>
            <color indexed="81"/>
            <rFont val="Tahoma"/>
            <family val="2"/>
          </rPr>
          <t>MATH2321 Calc 3 should be taken beforehand
Offered: FL - SP - SM1 - SM2</t>
        </r>
      </text>
    </comment>
    <comment ref="B22" authorId="1" shapeId="0" xr:uid="{00000000-0006-0000-0100-00000E000000}">
      <text>
        <r>
          <rPr>
            <b/>
            <sz val="9"/>
            <color indexed="81"/>
            <rFont val="Tahoma"/>
            <family val="2"/>
          </rPr>
          <t>Prerequisites:
PHYS1151
MATH1342 
 *may be taken concurrently
Offered: FL - SP - SM1</t>
        </r>
      </text>
    </comment>
    <comment ref="B25" authorId="2" shapeId="0" xr:uid="{D2958DAA-4B81-4D5A-A8C9-946D3B5A89A4}">
      <text>
        <r>
          <rPr>
            <sz val="11"/>
            <color theme="1"/>
            <rFont val="Calibri"/>
            <family val="2"/>
            <scheme val="minor"/>
          </rPr>
          <t>EECE 2150
Prereqs: GE 1502; 
MATH 2341, PHYS1155/56/57(or 1165/66/67 or 1175/76/77) EECE2140 (These three may be taken concurrently
EECE2160
Prereqs: GE 1502; 
EECE 2140 (may be taken concurrently)
BOTH OFFERED FL-SP</t>
        </r>
      </text>
    </comment>
    <comment ref="B26" authorId="2" shapeId="0" xr:uid="{392C7471-3647-45BC-AC89-568323071992}">
      <text>
        <r>
          <rPr>
            <sz val="11"/>
            <color theme="1"/>
            <rFont val="Calibri"/>
            <family val="2"/>
            <scheme val="minor"/>
          </rPr>
          <t xml:space="preserve">Terms Offered: FL - SP
Pre-Req/Co-reqs: NONE
Computing fundamentals (EECE 2140) may be taken year 1 in place of a general elective for students interested in extra preparation for co-ops involving computer hardware
</t>
        </r>
      </text>
    </comment>
    <comment ref="B27" authorId="1" shapeId="0" xr:uid="{00000000-0006-0000-0100-000011000000}">
      <text>
        <r>
          <rPr>
            <b/>
            <sz val="9"/>
            <color indexed="81"/>
            <rFont val="Tahoma"/>
            <family val="2"/>
          </rPr>
          <t>Offered FL - SP</t>
        </r>
      </text>
    </comment>
    <comment ref="E29" authorId="0" shapeId="0" xr:uid="{00000000-0006-0000-0100-000012000000}">
      <text>
        <r>
          <rPr>
            <b/>
            <sz val="9"/>
            <color indexed="81"/>
            <rFont val="Tahoma"/>
            <family val="2"/>
          </rPr>
          <t xml:space="preserve">Full Time Status = 8 credits
(If only taking one course,  students should submit a Petition to Reduce Load via "MyNortheastern&gt;Registrar Forms" AFTER registering)
</t>
        </r>
        <r>
          <rPr>
            <sz val="9"/>
            <color indexed="81"/>
            <rFont val="Tahoma"/>
            <family val="2"/>
          </rPr>
          <t xml:space="preserve">
</t>
        </r>
      </text>
    </comment>
    <comment ref="B31" authorId="1" shapeId="0" xr:uid="{8A2A7075-567A-4BFA-BFAF-DE45711FC953}">
      <text>
        <r>
          <rPr>
            <sz val="11"/>
            <color theme="1"/>
            <rFont val="Calibri"/>
            <family val="2"/>
            <scheme val="minor"/>
          </rPr>
          <t xml:space="preserve">Offered FL - SP - SM1
</t>
        </r>
      </text>
    </comment>
    <comment ref="E31" authorId="1" shapeId="0" xr:uid="{00000000-0006-0000-0100-000014000000}">
      <text>
        <r>
          <rPr>
            <b/>
            <sz val="9"/>
            <color indexed="81"/>
            <rFont val="Tahoma"/>
            <family val="2"/>
          </rPr>
          <t>Semester offerings vary. Check course schedule. General Electives must be 4-credit courses that don't appear in the General Elective Exclusions list (click tab below to view the worksheet).</t>
        </r>
      </text>
    </comment>
    <comment ref="B32" authorId="1" shapeId="0" xr:uid="{00000000-0006-0000-0100-000015000000}">
      <text>
        <r>
          <rPr>
            <b/>
            <sz val="9"/>
            <color indexed="81"/>
            <rFont val="Tahoma"/>
            <family val="2"/>
          </rPr>
          <t xml:space="preserve">Offered FL - SP
</t>
        </r>
      </text>
    </comment>
    <comment ref="E32" authorId="3" shapeId="0" xr:uid="{F9CC8E66-BAC9-42BD-A911-7F3B8E5E1A8D}">
      <text>
        <r>
          <rPr>
            <sz val="11"/>
            <color theme="1"/>
            <rFont val="Calibri"/>
            <family val="2"/>
            <scheme val="minor"/>
          </rPr>
          <t xml:space="preserve">Pre-req: ENGW1111
FL - SP - SU1 - SU2
</t>
        </r>
      </text>
    </comment>
    <comment ref="B33" authorId="2" shapeId="0" xr:uid="{DC22B980-DDE7-4BDC-ABF4-6C8779E2636A}">
      <text>
        <r>
          <rPr>
            <sz val="11"/>
            <color theme="1"/>
            <rFont val="Calibri"/>
            <family val="2"/>
            <scheme val="minor"/>
          </rPr>
          <t xml:space="preserve">Terms Offered: FL - SP - SM1 - SM2
Pre-Req: MATH1342 </t>
        </r>
      </text>
    </comment>
    <comment ref="B34" authorId="2" shapeId="0" xr:uid="{2053300C-4E20-4500-B3FD-55FACE5A0530}">
      <text>
        <r>
          <rPr>
            <sz val="11"/>
            <color theme="1"/>
            <rFont val="Calibri"/>
            <family val="2"/>
            <scheme val="minor"/>
          </rPr>
          <t>EECE 2150
Prereqs: GE 1502; 
MATH 2341, PHYS1155/56/57(or 1165/66/67 or 1175/76/77) EECE2140 (These three may be taken concurrently
EECE2160
Prereqs: GE 1502; 
EECE 2140 (may be taken concurrently)
BOTH OFFERED FL-SP</t>
        </r>
      </text>
    </comment>
    <comment ref="B35" authorId="1" shapeId="0" xr:uid="{00000000-0006-0000-0100-000018000000}">
      <text>
        <r>
          <rPr>
            <sz val="11"/>
            <color theme="1"/>
            <rFont val="Calibri"/>
            <family val="2"/>
            <scheme val="minor"/>
          </rPr>
          <t>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
        </r>
      </text>
    </comment>
    <comment ref="E39" authorId="0" shapeId="0" xr:uid="{00000000-0006-0000-0100-000019000000}">
      <text>
        <r>
          <rPr>
            <b/>
            <sz val="9"/>
            <color indexed="81"/>
            <rFont val="Tahoma"/>
            <family val="2"/>
          </rPr>
          <t xml:space="preserve">Full Time Status = 8 credits
(If only taking one course,  students should submit a Petition to Reduce Load via "MyNortheastern&gt;Registrar Forms" AFTER registering)
</t>
        </r>
        <r>
          <rPr>
            <sz val="9"/>
            <color indexed="81"/>
            <rFont val="Tahoma"/>
            <family val="2"/>
          </rPr>
          <t xml:space="preserve">
</t>
        </r>
      </text>
    </comment>
    <comment ref="B41" authorId="1" shapeId="0" xr:uid="{00000000-0006-0000-0100-00001A000000}">
      <text>
        <r>
          <rPr>
            <sz val="11"/>
            <color theme="1"/>
            <rFont val="Calibri"/>
            <family val="2"/>
            <scheme val="minor"/>
          </rPr>
          <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
</t>
        </r>
      </text>
    </comment>
    <comment ref="E41" authorId="2" shapeId="0" xr:uid="{F6334578-2191-44AF-9FD9-618E08F75372}">
      <text>
        <r>
          <rPr>
            <sz val="11"/>
            <color theme="1"/>
            <rFont val="Calibri"/>
            <family val="2"/>
            <scheme val="minor"/>
          </rPr>
          <t xml:space="preserve">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
</t>
        </r>
      </text>
    </comment>
    <comment ref="B42" authorId="4" shapeId="0" xr:uid="{A585FD99-62EA-493B-B680-4EA63737B403}">
      <text>
        <t>[Threaded comment]
Your version of Excel allows you to read this threaded comment; however, any edits to it will get removed if the file is opened in a newer version of Excel. Learn more: https://go.microsoft.com/fwlink/?linkid=870924
Comment:
    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
      </text>
    </comment>
    <comment ref="E42" authorId="2" shapeId="0" xr:uid="{30F122ED-D3BA-449A-8296-710866E6DE26}">
      <text>
        <r>
          <rPr>
            <sz val="11"/>
            <color theme="1"/>
            <rFont val="Calibri"/>
            <family val="2"/>
            <scheme val="minor"/>
          </rPr>
          <t>Pre-requisites
EECE2322/23 or EECE2540 or EECE2560 or EECE2412/13 or EECE2520 or EEC2530/31 AND Senior Standing
Offered SM 1 / SM2
Students in the summer 1 section will continue capstone 2 in the spring of the following year and students in the summer 2 section will continue capstone 2 in the fall of the same year.</t>
        </r>
      </text>
    </comment>
    <comment ref="B43" authorId="1" shapeId="0" xr:uid="{00000000-0006-0000-0100-00001C000000}">
      <text>
        <r>
          <rPr>
            <sz val="11"/>
            <color theme="1"/>
            <rFont val="Calibri"/>
            <family val="2"/>
            <scheme val="minor"/>
          </rPr>
          <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
</t>
        </r>
      </text>
    </comment>
    <comment ref="B44" authorId="1" shapeId="0" xr:uid="{00000000-0006-0000-0100-00001D000000}">
      <text>
        <r>
          <rPr>
            <sz val="11"/>
            <color theme="1"/>
            <rFont val="Calibri"/>
            <family val="2"/>
            <scheme val="minor"/>
          </rPr>
          <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
</t>
        </r>
      </text>
    </comment>
    <comment ref="B45" authorId="1" shapeId="0" xr:uid="{F436BA32-9E9C-41D5-BA5F-8591BE6937C4}">
      <text>
        <r>
          <rPr>
            <b/>
            <sz val="9"/>
            <color indexed="81"/>
            <rFont val="Tahoma"/>
            <family val="2"/>
          </rPr>
          <t>Offered FL - SP</t>
        </r>
      </text>
    </comment>
    <comment ref="D49" authorId="1" shapeId="0" xr:uid="{00000000-0006-0000-0100-00001F000000}">
      <text>
        <r>
          <rPr>
            <b/>
            <sz val="9"/>
            <color indexed="81"/>
            <rFont val="Tahoma"/>
            <family val="2"/>
          </rPr>
          <t xml:space="preserve">Full Time Status = 8 credits
(If only taking one course,  students should submit a Petition to Reduce Load via "MyNortheastern&gt;Registrar Forms" AFTER registering)
</t>
        </r>
      </text>
    </comment>
    <comment ref="E49" authorId="1" shapeId="0" xr:uid="{00000000-0006-0000-0100-000020000000}">
      <text>
        <r>
          <rPr>
            <b/>
            <sz val="9"/>
            <color indexed="81"/>
            <rFont val="Tahoma"/>
            <family val="2"/>
          </rPr>
          <t xml:space="preserve">Full Time Status = 8 credits
(If only taking one course,  students should submit a Petition to Reduce Load via "MyNortheastern&gt;Registrar Forms" AFTER registering)
SM2 Engineering courses offered:
</t>
        </r>
      </text>
    </comment>
    <comment ref="B51" authorId="2" shapeId="0" xr:uid="{CA845D14-1817-4995-89FD-766AB691D5D2}">
      <text>
        <r>
          <rPr>
            <sz val="11"/>
            <color theme="1"/>
            <rFont val="Calibri"/>
            <family val="2"/>
            <scheme val="minor"/>
          </rPr>
          <t>Prereqs:
EECE4791
Terms Offered:
Fall / Spring</t>
        </r>
      </text>
    </comment>
    <comment ref="C51" authorId="2" shapeId="0" xr:uid="{C64F1B2C-6A0E-43DB-8140-B6211F8E6B3B}">
      <text>
        <r>
          <rPr>
            <sz val="11"/>
            <color theme="1"/>
            <rFont val="Calibri"/>
            <family val="2"/>
            <scheme val="minor"/>
          </rPr>
          <t>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t>
        </r>
      </text>
    </comment>
    <comment ref="B52" authorId="1" shapeId="0" xr:uid="{00000000-0006-0000-0100-000021000000}">
      <text>
        <r>
          <rPr>
            <sz val="11"/>
            <color theme="1"/>
            <rFont val="Calibri"/>
            <family val="2"/>
            <scheme val="minor"/>
          </rPr>
          <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
</t>
        </r>
      </text>
    </comment>
    <comment ref="C52" authorId="2" shapeId="0" xr:uid="{2D4C3F63-0843-41A7-BF55-A3C05A21776F}">
      <text>
        <r>
          <rPr>
            <sz val="11"/>
            <color theme="1"/>
            <rFont val="Calibri"/>
            <family val="2"/>
            <scheme val="minor"/>
          </rPr>
          <t xml:space="preserve">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
</t>
        </r>
      </text>
    </comment>
    <comment ref="B53" authorId="2" shapeId="0" xr:uid="{B2A04092-7EB3-409B-9D0B-C5472F5E842C}">
      <text>
        <r>
          <rPr>
            <sz val="11"/>
            <color theme="1"/>
            <rFont val="Calibri"/>
            <family val="2"/>
            <scheme val="minor"/>
          </rPr>
          <t xml:space="preserve">Terms Offered: FL - SP - SM1 (Limited) - SM2 (Limited)
Pre-Req/Co-Reqs: VARY BY COURSE
Range of eligible courses listed in Requirements Specific to Electrical Engineering Majors in the catalog and in the Degree Audit.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
NOTE: All Summer offerings must be confirmed each academic year as these may change.
</t>
        </r>
      </text>
    </comment>
    <comment ref="C53" authorId="1" shapeId="0" xr:uid="{00000000-0006-0000-0100-000022000000}">
      <text>
        <r>
          <rPr>
            <b/>
            <sz val="9"/>
            <color indexed="81"/>
            <rFont val="Tahoma"/>
            <family val="2"/>
          </rPr>
          <t>Semester offerings vary. Check course schedule. General Electives must be 4-credit courses that don't appear in the General Elective Exclusions list (click tab below to view the worksheet).</t>
        </r>
      </text>
    </comment>
    <comment ref="B54" authorId="2" shapeId="0" xr:uid="{2A5DBC1B-DBA2-4CA0-B4F6-423F13AEAA36}">
      <text>
        <r>
          <rPr>
            <sz val="11"/>
            <color theme="1"/>
            <rFont val="Calibri"/>
            <family val="2"/>
            <scheme val="minor"/>
          </rPr>
          <t>Prereq: 
MATH 2341; EECE 2520</t>
        </r>
      </text>
    </comment>
    <comment ref="C54" authorId="1" shapeId="0" xr:uid="{00000000-0006-0000-0100-000023000000}">
      <text>
        <r>
          <rPr>
            <b/>
            <sz val="9"/>
            <color indexed="81"/>
            <rFont val="Tahoma"/>
            <family val="2"/>
          </rPr>
          <t>Semester offerings vary. Check course schedule. General Electives must be 4-credit courses that don't appear in the General Elective Exclusions list (click tab below to view the worksheet).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Huff, Liam</author>
  </authors>
  <commentList>
    <comment ref="A6" authorId="0" shapeId="0" xr:uid="{AE52C959-AC2C-405A-BB1F-08A28451E602}">
      <text>
        <r>
          <rPr>
            <sz val="11"/>
            <color theme="1"/>
            <rFont val="Calibri"/>
            <family val="2"/>
            <scheme val="minor"/>
          </rPr>
          <t>Though 2750 may be taken more than once, only one instance (4SH) may be taken toward the tech elective requirement. An additional 4SH may be taken toward</t>
        </r>
      </text>
    </comment>
    <comment ref="A9" authorId="0" shapeId="0" xr:uid="{4961B30F-900A-4880-8022-416B7C52E651}">
      <text>
        <r>
          <rPr>
            <sz val="11"/>
            <color theme="1"/>
            <rFont val="Calibri"/>
            <family val="2"/>
            <scheme val="minor"/>
          </rPr>
          <t>Offers an opportunity to conduct research under faculty supervision.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t>
        </r>
      </text>
    </comment>
    <comment ref="A10" authorId="0" shapeId="0" xr:uid="{85342ADD-1A4F-429F-A862-634BFB74D787}">
      <text>
        <r>
          <rPr>
            <sz val="11"/>
            <color theme="1"/>
            <rFont val="Calibri"/>
            <family val="2"/>
            <scheme val="minor"/>
          </rPr>
          <t>Offers independent work under the direction of members of the department on a chosen topic. Course content depends on instructor.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t>
        </r>
      </text>
    </comment>
    <comment ref="A11" authorId="0" shapeId="0" xr:uid="{55EBE69A-7764-4D9E-8567-8A152469B1F7}">
      <text>
        <r>
          <rPr>
            <sz val="11"/>
            <color theme="1"/>
            <rFont val="Calibri"/>
            <family val="2"/>
            <scheme val="minor"/>
          </rPr>
          <t>Offers theoretical or experimental work under individual faculty supervision.
Students can register for EECE 4991 / EECE 4992 / EECE 4993 more than once. For these courses combined, a maximum of 8SH will be allowed to satisfy the requirement of technical electives. An additional 4SH will be allowed as a general elective. At most one of these courses (4SH) can be taken in a semester.</t>
        </r>
      </text>
    </comment>
  </commentList>
</comments>
</file>

<file path=xl/sharedStrings.xml><?xml version="1.0" encoding="utf-8"?>
<sst xmlns="http://schemas.openxmlformats.org/spreadsheetml/2006/main" count="1289" uniqueCount="265">
  <si>
    <t>B.S. in Electrical and Computer Engineering</t>
  </si>
  <si>
    <t xml:space="preserve">CURRICULUM PLANNER  </t>
  </si>
  <si>
    <t xml:space="preserve"> DEGREE CLEARANCE FORM  </t>
  </si>
  <si>
    <t xml:space="preserve"> 4 years, 1 co-op in Spring/Summer 1 [DA Pattern] </t>
  </si>
  <si>
    <t xml:space="preserve"> &gt; Hover over a course to view prerequisites, frequency, and other advising notes.</t>
  </si>
  <si>
    <t>&gt;After pasting completed courses into the Degree Clearance Form, fill in the grade and credits earned.</t>
  </si>
  <si>
    <t>This sheet is a planning tool, but is not meant to substitute for the degree audit and catalog. It is the student's responsibility to check their degree audit to ensure that degree requirements are being met.</t>
  </si>
  <si>
    <t>Please refer to the academic catalog for more detailed information on each course</t>
  </si>
  <si>
    <t xml:space="preserve"> &gt; Cut and paste course cells if moving to a different semester</t>
  </si>
  <si>
    <t xml:space="preserve"> &gt; Transfer credit grades: College = 'T', Advanced Placement = 'AP', International Baccalaureate = 'IB'</t>
  </si>
  <si>
    <t xml:space="preserve"> Name: </t>
  </si>
  <si>
    <t xml:space="preserve"> &gt; Cut and paste course cells into the Degree Clearance Form when completed</t>
  </si>
  <si>
    <t xml:space="preserve"> Student ID: </t>
  </si>
  <si>
    <t xml:space="preserve"> &gt; Be sure to accurately indicate total Northeastern credits awarded for transfer and study abroad courses. </t>
  </si>
  <si>
    <r>
      <t xml:space="preserve"> </t>
    </r>
    <r>
      <rPr>
        <b/>
        <sz val="16"/>
        <color theme="1"/>
        <rFont val="Calibri"/>
        <family val="2"/>
        <scheme val="minor"/>
      </rPr>
      <t>Year of Graduation:</t>
    </r>
  </si>
  <si>
    <t xml:space="preserve"> &gt; Before making any changes, read important advising notes at bottom of document.</t>
  </si>
  <si>
    <t xml:space="preserve"> Capstone: </t>
  </si>
  <si>
    <t xml:space="preserve"> &gt; Input course numbers for all elective coursework</t>
  </si>
  <si>
    <t>FALL (YEAR)</t>
  </si>
  <si>
    <t>SPRING</t>
  </si>
  <si>
    <t>SUMMER 1</t>
  </si>
  <si>
    <t>SUMMER 2</t>
  </si>
  <si>
    <t xml:space="preserve">MATH &amp; SCIENCE </t>
  </si>
  <si>
    <t>GRADE</t>
  </si>
  <si>
    <t>TOTAL CREDITS</t>
  </si>
  <si>
    <t>MATH/SCI   CREDITS</t>
  </si>
  <si>
    <t>ENG'G CREDITS</t>
  </si>
  <si>
    <t>NOTES:</t>
  </si>
  <si>
    <t>YEAR 1</t>
  </si>
  <si>
    <r>
      <rPr>
        <b/>
        <sz val="11"/>
        <color rgb="FF000000"/>
        <rFont val="Calibri"/>
        <family val="2"/>
        <scheme val="minor"/>
      </rPr>
      <t xml:space="preserve">MATH1341  </t>
    </r>
    <r>
      <rPr>
        <sz val="11"/>
        <color rgb="FF000000"/>
        <rFont val="Calibri"/>
        <family val="2"/>
        <scheme val="minor"/>
      </rPr>
      <t xml:space="preserve">Calc 1 for Eng.  </t>
    </r>
    <r>
      <rPr>
        <b/>
        <sz val="11"/>
        <color rgb="FF000000"/>
        <rFont val="Calibri"/>
        <family val="2"/>
        <scheme val="minor"/>
      </rPr>
      <t xml:space="preserve">      4cr </t>
    </r>
  </si>
  <si>
    <r>
      <rPr>
        <b/>
        <sz val="11"/>
        <rFont val="Calibri"/>
        <family val="2"/>
      </rPr>
      <t xml:space="preserve">MATH1342  </t>
    </r>
    <r>
      <rPr>
        <sz val="11"/>
        <rFont val="Calibri"/>
        <family val="2"/>
      </rPr>
      <t xml:space="preserve">Calc 2 for Eng.      </t>
    </r>
    <r>
      <rPr>
        <b/>
        <sz val="11"/>
        <rFont val="Calibri"/>
        <family val="2"/>
      </rPr>
      <t xml:space="preserve">   4cr</t>
    </r>
    <r>
      <rPr>
        <sz val="11"/>
        <rFont val="Calibri"/>
        <family val="2"/>
      </rPr>
      <t xml:space="preserve">   </t>
    </r>
  </si>
  <si>
    <r>
      <rPr>
        <b/>
        <sz val="11"/>
        <rFont val="Calibri"/>
        <family val="2"/>
        <scheme val="minor"/>
      </rPr>
      <t>MATH2341</t>
    </r>
    <r>
      <rPr>
        <sz val="11"/>
        <rFont val="Calibri"/>
        <family val="2"/>
        <scheme val="minor"/>
      </rPr>
      <t xml:space="preserve">  Diff Eq/Lin. Alg.  </t>
    </r>
    <r>
      <rPr>
        <b/>
        <sz val="11"/>
        <rFont val="Calibri"/>
        <family val="2"/>
        <scheme val="minor"/>
      </rPr>
      <t xml:space="preserve">      4cr</t>
    </r>
  </si>
  <si>
    <t xml:space="preserve">CHEM1151 &gt; </t>
  </si>
  <si>
    <r>
      <rPr>
        <b/>
        <sz val="11"/>
        <rFont val="Calibri"/>
        <family val="2"/>
      </rPr>
      <t xml:space="preserve">CHEM1151 </t>
    </r>
    <r>
      <rPr>
        <sz val="11"/>
        <rFont val="Calibri"/>
        <family val="2"/>
      </rPr>
      <t xml:space="preserve"> Chem for Eng.  </t>
    </r>
    <r>
      <rPr>
        <b/>
        <sz val="11"/>
        <rFont val="Calibri"/>
        <family val="2"/>
      </rPr>
      <t xml:space="preserve">        4cr </t>
    </r>
  </si>
  <si>
    <r>
      <rPr>
        <b/>
        <sz val="11"/>
        <rFont val="Calibri"/>
        <family val="2"/>
      </rPr>
      <t xml:space="preserve">PHYS1151  </t>
    </r>
    <r>
      <rPr>
        <sz val="11"/>
        <rFont val="Calibri"/>
        <family val="2"/>
      </rPr>
      <t xml:space="preserve">  Phys 1 for Eng.   </t>
    </r>
    <r>
      <rPr>
        <b/>
        <sz val="11"/>
        <rFont val="Calibri"/>
        <family val="2"/>
      </rPr>
      <t xml:space="preserve">     3cr</t>
    </r>
  </si>
  <si>
    <t>CHEM1153 &gt;</t>
  </si>
  <si>
    <r>
      <rPr>
        <b/>
        <sz val="11"/>
        <color theme="1"/>
        <rFont val="Calibri"/>
        <family val="2"/>
        <scheme val="minor"/>
      </rPr>
      <t xml:space="preserve">CHEM1153 </t>
    </r>
    <r>
      <rPr>
        <sz val="11"/>
        <color theme="1"/>
        <rFont val="Calibri"/>
        <family val="2"/>
        <scheme val="minor"/>
      </rPr>
      <t xml:space="preserve"> Recitation</t>
    </r>
  </si>
  <si>
    <r>
      <rPr>
        <b/>
        <sz val="11"/>
        <rFont val="Calibri"/>
        <family val="2"/>
      </rPr>
      <t xml:space="preserve">PHYS1152   </t>
    </r>
    <r>
      <rPr>
        <sz val="11"/>
        <rFont val="Calibri"/>
        <family val="2"/>
      </rPr>
      <t xml:space="preserve"> Phys 1 lab          </t>
    </r>
    <r>
      <rPr>
        <b/>
        <sz val="11"/>
        <rFont val="Calibri"/>
        <family val="2"/>
      </rPr>
      <t xml:space="preserve">      1cr</t>
    </r>
  </si>
  <si>
    <t>CS1800 &gt;</t>
  </si>
  <si>
    <r>
      <rPr>
        <b/>
        <sz val="11"/>
        <rFont val="Calibri"/>
        <family val="2"/>
      </rPr>
      <t xml:space="preserve">GE 1000    </t>
    </r>
    <r>
      <rPr>
        <sz val="11"/>
        <rFont val="Calibri"/>
        <family val="2"/>
      </rPr>
      <t xml:space="preserve">   First-Year Seminar</t>
    </r>
    <r>
      <rPr>
        <b/>
        <sz val="11"/>
        <rFont val="Calibri"/>
        <family val="2"/>
      </rPr>
      <t xml:space="preserve">        1cr</t>
    </r>
  </si>
  <si>
    <r>
      <rPr>
        <b/>
        <sz val="11"/>
        <rFont val="Calibri"/>
        <family val="2"/>
        <scheme val="minor"/>
      </rPr>
      <t xml:space="preserve">PHYS1153    </t>
    </r>
    <r>
      <rPr>
        <sz val="11"/>
        <rFont val="Calibri"/>
        <family val="2"/>
        <scheme val="minor"/>
      </rPr>
      <t xml:space="preserve">Physics ILS               </t>
    </r>
    <r>
      <rPr>
        <b/>
        <sz val="11"/>
        <rFont val="Calibri"/>
        <family val="2"/>
        <scheme val="minor"/>
      </rPr>
      <t>1cr</t>
    </r>
  </si>
  <si>
    <t>CS1802 &gt;</t>
  </si>
  <si>
    <r>
      <rPr>
        <b/>
        <sz val="11"/>
        <rFont val="Calibri"/>
        <family val="2"/>
      </rPr>
      <t xml:space="preserve">GE 1501   </t>
    </r>
    <r>
      <rPr>
        <sz val="11"/>
        <rFont val="Calibri"/>
        <family val="2"/>
      </rPr>
      <t xml:space="preserve">    Cornerstone 1    </t>
    </r>
    <r>
      <rPr>
        <b/>
        <sz val="11"/>
        <rFont val="Calibri"/>
        <family val="2"/>
      </rPr>
      <t xml:space="preserve">     4cr</t>
    </r>
  </si>
  <si>
    <r>
      <rPr>
        <b/>
        <sz val="11"/>
        <rFont val="Calibri"/>
        <family val="2"/>
      </rPr>
      <t xml:space="preserve">GE 1502   </t>
    </r>
    <r>
      <rPr>
        <sz val="11"/>
        <rFont val="Calibri"/>
        <family val="2"/>
      </rPr>
      <t xml:space="preserve">    Cornerstone 2    </t>
    </r>
    <r>
      <rPr>
        <b/>
        <sz val="11"/>
        <rFont val="Calibri"/>
        <family val="2"/>
      </rPr>
      <t xml:space="preserve">      4cr</t>
    </r>
  </si>
  <si>
    <t>MATH1341 &gt;</t>
  </si>
  <si>
    <r>
      <rPr>
        <b/>
        <sz val="11"/>
        <rFont val="Calibri"/>
        <family val="2"/>
      </rPr>
      <t>ENGW1111</t>
    </r>
    <r>
      <rPr>
        <sz val="11"/>
        <rFont val="Calibri"/>
        <family val="2"/>
      </rPr>
      <t xml:space="preserve"> 1st Year Writ.     </t>
    </r>
    <r>
      <rPr>
        <b/>
        <sz val="11"/>
        <rFont val="Calibri"/>
        <family val="2"/>
      </rPr>
      <t xml:space="preserve">     4cr</t>
    </r>
  </si>
  <si>
    <r>
      <rPr>
        <b/>
        <sz val="11"/>
        <rFont val="Calibri"/>
        <family val="2"/>
        <scheme val="minor"/>
      </rPr>
      <t xml:space="preserve">XXXX____ </t>
    </r>
    <r>
      <rPr>
        <sz val="11"/>
        <rFont val="Calibri"/>
        <family val="2"/>
        <scheme val="minor"/>
      </rPr>
      <t xml:space="preserve">    Gen Elective 1    </t>
    </r>
    <r>
      <rPr>
        <b/>
        <sz val="11"/>
        <rFont val="Calibri"/>
        <family val="2"/>
        <scheme val="minor"/>
      </rPr>
      <t xml:space="preserve">        4cr</t>
    </r>
  </si>
  <si>
    <t>MATH1342 &gt;</t>
  </si>
  <si>
    <t>MATH2321 &gt;</t>
  </si>
  <si>
    <t>MATH2341 &gt;</t>
  </si>
  <si>
    <t>FALL</t>
  </si>
  <si>
    <t>PHYS1151   &gt;</t>
  </si>
  <si>
    <t>PHYS1152   &gt;</t>
  </si>
  <si>
    <t>YEAR 2</t>
  </si>
  <si>
    <r>
      <rPr>
        <b/>
        <sz val="11"/>
        <rFont val="Calibri"/>
        <family val="2"/>
      </rPr>
      <t>MATH2321</t>
    </r>
    <r>
      <rPr>
        <sz val="11"/>
        <rFont val="Calibri"/>
        <family val="2"/>
      </rPr>
      <t xml:space="preserve">    Calc 3 for Eng.  </t>
    </r>
    <r>
      <rPr>
        <b/>
        <sz val="11"/>
        <rFont val="Calibri"/>
        <family val="2"/>
      </rPr>
      <t xml:space="preserve">     4cr</t>
    </r>
  </si>
  <si>
    <t>CO-OP</t>
  </si>
  <si>
    <t>PHYS1153   &gt;</t>
  </si>
  <si>
    <r>
      <rPr>
        <b/>
        <sz val="11"/>
        <rFont val="Calibri"/>
        <family val="2"/>
      </rPr>
      <t xml:space="preserve">PHYS1155  </t>
    </r>
    <r>
      <rPr>
        <sz val="11"/>
        <rFont val="Calibri"/>
        <family val="2"/>
      </rPr>
      <t xml:space="preserve">  Phys 2 for Eng.   </t>
    </r>
    <r>
      <rPr>
        <b/>
        <sz val="11"/>
        <rFont val="Calibri"/>
        <family val="2"/>
      </rPr>
      <t xml:space="preserve">     3cr</t>
    </r>
  </si>
  <si>
    <t>PHYS1155   &gt;</t>
  </si>
  <si>
    <r>
      <rPr>
        <b/>
        <sz val="11"/>
        <rFont val="Calibri"/>
        <family val="2"/>
      </rPr>
      <t xml:space="preserve">PHYS1156   </t>
    </r>
    <r>
      <rPr>
        <sz val="11"/>
        <rFont val="Calibri"/>
        <family val="2"/>
      </rPr>
      <t xml:space="preserve"> Phys 2 lab          </t>
    </r>
    <r>
      <rPr>
        <b/>
        <sz val="11"/>
        <rFont val="Calibri"/>
        <family val="2"/>
      </rPr>
      <t xml:space="preserve">      1cr</t>
    </r>
  </si>
  <si>
    <t>PHYS1156   &gt;</t>
  </si>
  <si>
    <r>
      <rPr>
        <b/>
        <sz val="11"/>
        <rFont val="Calibri"/>
        <family val="2"/>
        <scheme val="minor"/>
      </rPr>
      <t xml:space="preserve">PHYS1157    </t>
    </r>
    <r>
      <rPr>
        <sz val="11"/>
        <rFont val="Calibri"/>
        <family val="2"/>
        <scheme val="minor"/>
      </rPr>
      <t xml:space="preserve">Physics 2 ILS            </t>
    </r>
    <r>
      <rPr>
        <b/>
        <sz val="11"/>
        <rFont val="Calibri"/>
        <family val="2"/>
        <scheme val="minor"/>
      </rPr>
      <t>1cr</t>
    </r>
  </si>
  <si>
    <t>PHYS1157   &gt;</t>
  </si>
  <si>
    <r>
      <rPr>
        <b/>
        <sz val="11"/>
        <color rgb="FF000000"/>
        <rFont val="Calibri"/>
        <family val="2"/>
        <scheme val="minor"/>
      </rPr>
      <t xml:space="preserve">EECE2140  </t>
    </r>
    <r>
      <rPr>
        <sz val="11"/>
        <color rgb="FF000000"/>
        <rFont val="Calibri"/>
        <family val="2"/>
        <scheme val="minor"/>
      </rPr>
      <t>Computing Fundamentals for Engineers</t>
    </r>
    <r>
      <rPr>
        <b/>
        <sz val="11"/>
        <color rgb="FF000000"/>
        <rFont val="Calibri"/>
        <family val="2"/>
        <scheme val="minor"/>
      </rPr>
      <t xml:space="preserve">    4cr</t>
    </r>
  </si>
  <si>
    <t>EECE2150   Circuits &amp; Signals     5cr     OR EECE2160   Embedded Design   4cr</t>
  </si>
  <si>
    <r>
      <rPr>
        <b/>
        <sz val="11"/>
        <rFont val="Calibri"/>
        <family val="2"/>
      </rPr>
      <t xml:space="preserve">ENCP2000    </t>
    </r>
    <r>
      <rPr>
        <sz val="11"/>
        <rFont val="Calibri"/>
        <family val="2"/>
      </rPr>
      <t xml:space="preserve">   Intro. To Co-op </t>
    </r>
    <r>
      <rPr>
        <b/>
        <sz val="11"/>
        <rFont val="Calibri"/>
        <family val="2"/>
      </rPr>
      <t xml:space="preserve">    1cr</t>
    </r>
  </si>
  <si>
    <t>ENGI- NEERING</t>
  </si>
  <si>
    <t>EECE2140</t>
  </si>
  <si>
    <t>NOTES: SUBMIT UPDATED PLAN TO ADVISOR FOR CLEARANCE REVIEW.</t>
  </si>
  <si>
    <t>EECE2150</t>
  </si>
  <si>
    <t>YEAR 3</t>
  </si>
  <si>
    <r>
      <rPr>
        <b/>
        <sz val="11"/>
        <rFont val="Calibri"/>
        <family val="2"/>
        <scheme val="minor"/>
      </rPr>
      <t xml:space="preserve">CS1800 </t>
    </r>
    <r>
      <rPr>
        <sz val="11"/>
        <rFont val="Calibri"/>
        <family val="2"/>
        <scheme val="minor"/>
      </rPr>
      <t xml:space="preserve"> Discrete Structures      </t>
    </r>
    <r>
      <rPr>
        <b/>
        <sz val="11"/>
        <rFont val="Calibri"/>
        <family val="2"/>
        <scheme val="minor"/>
      </rPr>
      <t xml:space="preserve">4cr </t>
    </r>
  </si>
  <si>
    <t>EECExxxx   EE/CE Fund.   4/5cr</t>
  </si>
  <si>
    <t>EECE4791  Capstone 1              1cr</t>
  </si>
  <si>
    <t>EECE2160</t>
  </si>
  <si>
    <r>
      <rPr>
        <b/>
        <sz val="11"/>
        <rFont val="Calibri"/>
        <family val="2"/>
        <scheme val="minor"/>
      </rPr>
      <t xml:space="preserve">CS1802 </t>
    </r>
    <r>
      <rPr>
        <sz val="11"/>
        <rFont val="Calibri"/>
        <family val="2"/>
        <scheme val="minor"/>
      </rPr>
      <t xml:space="preserve"> Recitation                     </t>
    </r>
    <r>
      <rPr>
        <b/>
        <sz val="11"/>
        <rFont val="Calibri"/>
        <family val="2"/>
        <scheme val="minor"/>
      </rPr>
      <t xml:space="preserve">1cr </t>
    </r>
  </si>
  <si>
    <t>EECExxxx   EE/CE Fund    4/5cr</t>
  </si>
  <si>
    <t>EECExxxx  Technical Elective 1         4cr</t>
  </si>
  <si>
    <t>Required: 3 EE Fundamentals</t>
  </si>
  <si>
    <t>EECExxxx   EE/CE Fund   4/5cr</t>
  </si>
  <si>
    <r>
      <t xml:space="preserve">ENGW3302 </t>
    </r>
    <r>
      <rPr>
        <sz val="11"/>
        <rFont val="Calibri"/>
        <family val="2"/>
        <scheme val="minor"/>
      </rPr>
      <t xml:space="preserve">Adv. Writ.: Tech Prof  </t>
    </r>
    <r>
      <rPr>
        <b/>
        <sz val="11"/>
        <rFont val="Calibri"/>
        <family val="2"/>
        <scheme val="minor"/>
      </rPr>
      <t>4cr</t>
    </r>
  </si>
  <si>
    <t>EECE2412</t>
  </si>
  <si>
    <r>
      <rPr>
        <b/>
        <sz val="11"/>
        <rFont val="Calibri"/>
        <family val="2"/>
        <scheme val="minor"/>
      </rPr>
      <t xml:space="preserve">XXXX____ </t>
    </r>
    <r>
      <rPr>
        <sz val="11"/>
        <rFont val="Calibri"/>
        <family val="2"/>
        <scheme val="minor"/>
      </rPr>
      <t xml:space="preserve">    Gen Elective 3    </t>
    </r>
    <r>
      <rPr>
        <b/>
        <sz val="11"/>
        <rFont val="Calibri"/>
        <family val="2"/>
        <scheme val="minor"/>
      </rPr>
      <t xml:space="preserve">        4cr</t>
    </r>
  </si>
  <si>
    <r>
      <t xml:space="preserve">or 3315 </t>
    </r>
    <r>
      <rPr>
        <sz val="11"/>
        <rFont val="Calibri"/>
        <family val="2"/>
        <scheme val="minor"/>
      </rPr>
      <t>Interdisciplinary Adv. Writ.</t>
    </r>
  </si>
  <si>
    <t>EECE2413 lab</t>
  </si>
  <si>
    <r>
      <rPr>
        <b/>
        <sz val="11"/>
        <rFont val="Calibri"/>
        <family val="2"/>
        <scheme val="minor"/>
      </rPr>
      <t xml:space="preserve">XXXX____ </t>
    </r>
    <r>
      <rPr>
        <sz val="11"/>
        <rFont val="Calibri"/>
        <family val="2"/>
        <scheme val="minor"/>
      </rPr>
      <t xml:space="preserve">    Gen Elective 2    </t>
    </r>
    <r>
      <rPr>
        <b/>
        <sz val="11"/>
        <rFont val="Calibri"/>
        <family val="2"/>
        <scheme val="minor"/>
      </rPr>
      <t xml:space="preserve">        4cr</t>
    </r>
  </si>
  <si>
    <t>EECE2520</t>
  </si>
  <si>
    <r>
      <rPr>
        <b/>
        <sz val="11"/>
        <rFont val="Calibri"/>
        <family val="2"/>
      </rPr>
      <t xml:space="preserve">ENCP3000    </t>
    </r>
    <r>
      <rPr>
        <sz val="11"/>
        <rFont val="Calibri"/>
        <family val="2"/>
      </rPr>
      <t xml:space="preserve">   Prof. Issues      </t>
    </r>
    <r>
      <rPr>
        <b/>
        <sz val="11"/>
        <rFont val="Calibri"/>
        <family val="2"/>
      </rPr>
      <t xml:space="preserve">    1cr</t>
    </r>
  </si>
  <si>
    <t>EECE2530</t>
  </si>
  <si>
    <t>EECE2531 lab</t>
  </si>
  <si>
    <t>Required: 3 CE Fundamentals</t>
  </si>
  <si>
    <t>EECE2322</t>
  </si>
  <si>
    <t xml:space="preserve">NOTES: </t>
  </si>
  <si>
    <t>EECE2323 lab</t>
  </si>
  <si>
    <t>YEAR 4</t>
  </si>
  <si>
    <t>EECE4792  Capstone 2              4cr</t>
  </si>
  <si>
    <t>EECExxxx  EECE Tech Elective 2  4cr</t>
  </si>
  <si>
    <t>EECE2540</t>
  </si>
  <si>
    <t>EECE3468 Noise &amp; Stoch. Pro.     4cr</t>
  </si>
  <si>
    <t>EECExxxx  EECE Tech Elective 3  4cr</t>
  </si>
  <si>
    <t>EECE2560</t>
  </si>
  <si>
    <t>EECExxxx  EECE Tech Elective 4  4cr</t>
  </si>
  <si>
    <t>CAPSTONE</t>
  </si>
  <si>
    <r>
      <rPr>
        <b/>
        <sz val="11"/>
        <rFont val="Calibri"/>
        <family val="2"/>
        <scheme val="minor"/>
      </rPr>
      <t xml:space="preserve">XXXX____ </t>
    </r>
    <r>
      <rPr>
        <sz val="11"/>
        <rFont val="Calibri"/>
        <family val="2"/>
        <scheme val="minor"/>
      </rPr>
      <t xml:space="preserve">    Gen Elective 4    </t>
    </r>
    <r>
      <rPr>
        <b/>
        <sz val="11"/>
        <rFont val="Calibri"/>
        <family val="2"/>
        <scheme val="minor"/>
      </rPr>
      <t xml:space="preserve">        4cr</t>
    </r>
  </si>
  <si>
    <t>EECE4791</t>
  </si>
  <si>
    <t>EECE4792</t>
  </si>
  <si>
    <t>TECH. ELECT.</t>
  </si>
  <si>
    <t>EECExxxx</t>
  </si>
  <si>
    <t>ADVISING NOTES</t>
  </si>
  <si>
    <t>#</t>
  </si>
  <si>
    <t xml:space="preserve">&lt;-- Click to view degree requirements in the catalog, including elective options not specified. </t>
  </si>
  <si>
    <t>ADD'L ENG.</t>
  </si>
  <si>
    <r>
      <t xml:space="preserve">&gt; The following NU Path requirements to be completed with General Electives: </t>
    </r>
    <r>
      <rPr>
        <b/>
        <sz val="11"/>
        <color theme="1"/>
        <rFont val="Calibri"/>
        <family val="2"/>
        <scheme val="minor"/>
      </rPr>
      <t>Interpreting Culture (IC), Difference &amp; Diversity (DD) and Societies &amp; Institutions (SI).</t>
    </r>
  </si>
  <si>
    <t>GE 1501     &gt;</t>
  </si>
  <si>
    <t xml:space="preserve">&gt; Always plan to register for at least 16 credits in a semester (+ required labs/recitations). </t>
  </si>
  <si>
    <t>GE 1502     &gt;</t>
  </si>
  <si>
    <r>
      <rPr>
        <sz val="11"/>
        <color rgb="FF000000"/>
        <rFont val="Calibri"/>
        <family val="2"/>
      </rPr>
      <t xml:space="preserve">&gt; Students with less than 12 billing credits remaining in their curriculum </t>
    </r>
    <r>
      <rPr>
        <i/>
        <sz val="11"/>
        <color rgb="FF000000"/>
        <rFont val="Calibri"/>
        <family val="2"/>
      </rPr>
      <t>in their final semester</t>
    </r>
    <r>
      <rPr>
        <sz val="11"/>
        <color rgb="FF000000"/>
        <rFont val="Calibri"/>
        <family val="2"/>
      </rPr>
      <t xml:space="preserve"> are eligible to submit a petition to reduce load </t>
    </r>
  </si>
  <si>
    <t xml:space="preserve">EECE3468 </t>
  </si>
  <si>
    <t xml:space="preserve">  via the StudentHub--&gt; Academics, Classes, and Registration --&gt; Registrar Forms. Submit the petition after registering for final degree requirements. </t>
  </si>
  <si>
    <t>&gt; Keep semester loads balanced. For instance, try to evenly distribute general electives, writing courses and non-engineering coursework.</t>
  </si>
  <si>
    <t>&gt; Course availability as listed is subject to change depending on departmental offerings. Students should always check the projected course offerings</t>
  </si>
  <si>
    <t xml:space="preserve">   as well as the semester schedule prior to registration.</t>
  </si>
  <si>
    <t>PROF. DVLPMT.</t>
  </si>
  <si>
    <t>&gt; This sheet is a planning tool, but is not meant to substitute for the degree audit and catalog. It is the student's responsibility to check their degree audit to ensure</t>
  </si>
  <si>
    <t xml:space="preserve">   that degree requirements are being met. </t>
  </si>
  <si>
    <t>GE 1000     &gt;</t>
  </si>
  <si>
    <t>&gt;A minimum cumulative GPA requirement of 2.000 in major coursework and a minimum cumulative GPA requirement of 2.000 overall are required for graduation.</t>
  </si>
  <si>
    <t>EECE2000   &gt;</t>
  </si>
  <si>
    <t>Requirements Specific to Combined Electrical &amp; Computer Engr. Majors</t>
  </si>
  <si>
    <t>EECE3000   &gt;</t>
  </si>
  <si>
    <t>SUPP. COURSES</t>
  </si>
  <si>
    <t>1.  The Capstone Design Courses are taken as follows: (EECE4790 - Summer 1 and EECE4792 - Spring) OR (EECE4790 - Summer 2 and EECE4792 - Fall)</t>
  </si>
  <si>
    <t>2.  For engineering majors, ENGW3315 is an acceptable substitution for ENGW3302.</t>
  </si>
  <si>
    <t>ENGW1111 &gt;</t>
  </si>
  <si>
    <t xml:space="preserve">3.  NUpath requirements, Interpreting Culture (IC), Societies and Institutions (SI) and Differences and Diversity (DD)  are not explicitly satisfied by required </t>
  </si>
  <si>
    <r>
      <t xml:space="preserve">ENGW3302 &gt;   </t>
    </r>
    <r>
      <rPr>
        <b/>
        <i/>
        <u/>
        <sz val="11"/>
        <rFont val="Calibri"/>
        <family val="2"/>
        <scheme val="minor"/>
      </rPr>
      <t/>
    </r>
  </si>
  <si>
    <t xml:space="preserve">engineering courses. Students are responsible for satisfying these requirements, and if these are not fulfilled in engineering courses, should use General </t>
  </si>
  <si>
    <t>or        3315</t>
  </si>
  <si>
    <t>Electives to do so.  General Electives are academic, non-remedial, non-repetitive courses. Should you choose not to pursue a co-op experience, you are</t>
  </si>
  <si>
    <t>required to satisfy the Integration Experience (EX) NUpath requirement through other coursework.</t>
  </si>
  <si>
    <t xml:space="preserve">4.  Total Required General Elective Credits: 16 </t>
  </si>
  <si>
    <t>GENERAL ELECTIVES</t>
  </si>
  <si>
    <t xml:space="preserve">X' the box for each NU Path requirement when it is complete. </t>
  </si>
  <si>
    <t>IC</t>
  </si>
  <si>
    <t>DD</t>
  </si>
  <si>
    <t>SI</t>
  </si>
  <si>
    <t xml:space="preserve">5.  Three (3) Required CE Fundamentals: </t>
  </si>
  <si>
    <t>EECE2322/2323 - Fundamentals Digital Design &amp; Lab AND EECE2540 - Fundamentals Networks AND EECE2560 - Fundamentals Algorithms</t>
  </si>
  <si>
    <t>XXXX____   &gt;</t>
  </si>
  <si>
    <t>6. Three (3) Required EE Fundamentals:</t>
  </si>
  <si>
    <t>EECE2412/2413 - Fundamentals Electronics 1 &amp; lab AND EECE2520 - Fundamentals Linear Systems AND EECE 2530/2531 - Fundamentals Electromagnetics &amp; lab.</t>
  </si>
  <si>
    <t>7.  Technical Elective Requirements: 2 EECE Technical Electives and 2 Khoury College of Computer Sciences (CS) Technical Electives:  </t>
  </si>
  <si>
    <t xml:space="preserve">        2 EECE courses from the following approved list:</t>
  </si>
  <si>
    <t>            EECE2750, EECE3154, (EECE3324-EECE3410), ( EECE4512-EECE4698), (EECE4991-EECE4993), (EECE5155-EECE5698), GE4608, ENGR5670</t>
  </si>
  <si>
    <r>
      <t xml:space="preserve">      </t>
    </r>
    <r>
      <rPr>
        <b/>
        <i/>
        <sz val="12"/>
        <color theme="1"/>
        <rFont val="Calibri"/>
        <family val="2"/>
        <scheme val="minor"/>
      </rPr>
      <t xml:space="preserve">  2 CS/CY/IS courses from the following approved list</t>
    </r>
    <r>
      <rPr>
        <sz val="12"/>
        <color theme="1"/>
        <rFont val="Calibri"/>
        <family val="2"/>
        <scheme val="minor"/>
      </rPr>
      <t>:</t>
    </r>
  </si>
  <si>
    <t>CY2550, (CS3200-CS3500), (CS3540-CS3800), (CS4100-CY4770), CS4850, (IS4200- IS4700)</t>
  </si>
  <si>
    <t>8.  The registrar’s website provides a listing of degree requirements and the DARS system provides a degree audit utility for students.</t>
  </si>
  <si>
    <t>MATH/SCIENCE CREDITS</t>
  </si>
  <si>
    <t>MINIMUM</t>
  </si>
  <si>
    <t>EARNED</t>
  </si>
  <si>
    <t>ENGINEERING CREDITS</t>
  </si>
  <si>
    <t>REQUIRED</t>
  </si>
  <si>
    <r>
      <rPr>
        <b/>
        <sz val="11"/>
        <color theme="1"/>
        <rFont val="Calibri"/>
        <family val="2"/>
        <scheme val="minor"/>
      </rPr>
      <t>Notes:</t>
    </r>
    <r>
      <rPr>
        <sz val="11"/>
        <color theme="1"/>
        <rFont val="Calibri"/>
        <family val="2"/>
        <scheme val="minor"/>
      </rPr>
      <t xml:space="preserve"> </t>
    </r>
  </si>
  <si>
    <r>
      <t xml:space="preserve">Minor </t>
    </r>
    <r>
      <rPr>
        <b/>
        <u/>
        <sz val="11"/>
        <color theme="1"/>
        <rFont val="Calibri"/>
        <family val="2"/>
        <scheme val="minor"/>
      </rPr>
      <t>(optional)</t>
    </r>
    <r>
      <rPr>
        <b/>
        <sz val="11"/>
        <color theme="1"/>
        <rFont val="Calibri"/>
        <family val="2"/>
        <scheme val="minor"/>
      </rPr>
      <t xml:space="preserve">: </t>
    </r>
  </si>
  <si>
    <t>Minor Advisor/Email:</t>
  </si>
  <si>
    <t>REQUIRED COURSES COMPLETED</t>
  </si>
  <si>
    <t>AP/IB CREDITS</t>
  </si>
  <si>
    <t>STUDENTS ARE ALLOWED TO COUNT A MAXIMUM OF 32 CREDITS FROM AP/IB COURSES TOWARD TOTAL CREDIT REQUIREMENT. ANY CREDITS OVER THE LIMIT MUST BE MADE UP WITH ADDITIONAL GENERAL ELECTIVE COURSEWORK.</t>
  </si>
  <si>
    <t>REMOTE CAPSTONE DESIGN POLICY</t>
  </si>
  <si>
    <t>ALLOWED</t>
  </si>
  <si>
    <t>The capstone design course is a team effort, and students should try their best to be on-campus working with their team members. Capstone consists of two courses, Capstone 1 (EECE 4790) and Capstone 2 (EECE 4792). Capstone 1 is offered during summer, and it is divided into two sections. Students in the summer 1 section will continue capstone 2 in the spring of the following year and students in the summer 2 section will continue capstone 2 in the fall of the same year. We allow students to take capstone 1 remotely with valid reasoning. However, all students must be on-campus for capstone 2. During the first week of summer 1 or summer 2, we will have an assembly meeting, in which teams are created and advisors are associated with them. Each team consisting of 5 or 6 students is required to meet with the assigned advisor every week for one hour. The advisor usually has five teams and meets with each team at a mutually agreeable time once a week. Note that students will not meet at the designated scheduled classes every day after the first week. However, it is expected that each team arranges more meetings per week (at school or remotely) to be actively involved with the project.  </t>
  </si>
  <si>
    <t>DIFFERENCE</t>
  </si>
  <si>
    <t> </t>
  </si>
  <si>
    <t>The following rules apply for students who are taking capstone remotely:  </t>
  </si>
  <si>
    <t>1. The remote student should submit an email to the Capstone Coordinator, Professor Bahram Shafai (shafai@ece.neu.edu), at least one month before the start of the Capstone 1 term explaining the reason for not being available on campus. Most of the cases can be resolved by communications.  </t>
  </si>
  <si>
    <t>2. The remote student must attend the assembly meeting(s) in person during the first week before committing to any summer internship, job, family visit or travel.  </t>
  </si>
  <si>
    <t>3. If the remote student is not available at the assembly meeting(s), the student is responsible for finding a capstone team in advance to represent the student at the meeting.  </t>
  </si>
  <si>
    <t>4. If the remote student cannot find a complete team, then the student should find one or more students to represent the remote student at the assembly meeting.  </t>
  </si>
  <si>
    <t>5. The remote student will be placed in a capstone team if this student cannot form a team.  </t>
  </si>
  <si>
    <t>6. The remote student should arrange to be available during the weekly meeting with the capstone advisor and have full agreement from the team that this arrangement is acceptable.  </t>
  </si>
  <si>
    <t>7. The student should identify personal responsibilities for the capstone team.  </t>
  </si>
  <si>
    <t>8. The remote student must attend the final proposal presentation in person at the end of the summer session.  </t>
  </si>
  <si>
    <t>9. If the remote student is not available on-campus for final proposal presentation, then the student can remotely present or integrate their presentation with a short video-clip in the PowerPoint slides.  </t>
  </si>
  <si>
    <t>If there are additional questions or concerns, please contact Professor Bahram Shafai by email: shafai@ece.neu.edu or Cell: (617)721-4805.  </t>
  </si>
  <si>
    <t xml:space="preserve"> 4 years, 1 co-op in Summer 2/Fall [DB Pattern] </t>
  </si>
  <si>
    <t>EECE2140   Computing Fundamentals for Engineers    4cr</t>
  </si>
  <si>
    <t xml:space="preserve"> 5 years, 3 co-ops in Summer 2/Fall [AA Pattern] </t>
  </si>
  <si>
    <t xml:space="preserve">MATH1341  Calc 1 for Eng.        4cr </t>
  </si>
  <si>
    <r>
      <rPr>
        <b/>
        <sz val="11"/>
        <rFont val="Calibri"/>
        <family val="2"/>
      </rPr>
      <t xml:space="preserve">GE 1000    </t>
    </r>
    <r>
      <rPr>
        <sz val="11"/>
        <rFont val="Calibri"/>
        <family val="2"/>
      </rPr>
      <t xml:space="preserve">   First-Year Seminar</t>
    </r>
    <r>
      <rPr>
        <b/>
        <sz val="11"/>
        <rFont val="Calibri"/>
        <family val="2"/>
      </rPr>
      <t xml:space="preserve">      1cr</t>
    </r>
  </si>
  <si>
    <r>
      <rPr>
        <b/>
        <sz val="11"/>
        <color rgb="FF000000"/>
        <rFont val="Calibri"/>
        <family val="2"/>
      </rPr>
      <t>MATH2341</t>
    </r>
    <r>
      <rPr>
        <sz val="11"/>
        <color rgb="FF000000"/>
        <rFont val="Calibri"/>
        <family val="2"/>
      </rPr>
      <t xml:space="preserve">  Diff Eq/Lin. Alg.  </t>
    </r>
    <r>
      <rPr>
        <b/>
        <sz val="11"/>
        <color rgb="FF000000"/>
        <rFont val="Calibri"/>
        <family val="2"/>
      </rPr>
      <t xml:space="preserve">      4cr</t>
    </r>
  </si>
  <si>
    <r>
      <rPr>
        <b/>
        <sz val="11"/>
        <color rgb="FF000000"/>
        <rFont val="Calibri"/>
        <family val="2"/>
      </rPr>
      <t xml:space="preserve">PHYS1157    </t>
    </r>
    <r>
      <rPr>
        <sz val="11"/>
        <color rgb="FF000000"/>
        <rFont val="Calibri"/>
        <family val="2"/>
      </rPr>
      <t xml:space="preserve">Physics 2 ILS            </t>
    </r>
    <r>
      <rPr>
        <b/>
        <sz val="11"/>
        <color rgb="FF000000"/>
        <rFont val="Calibri"/>
        <family val="2"/>
      </rPr>
      <t>1cr</t>
    </r>
  </si>
  <si>
    <t>EECExxxx  EECE Tech Elective 1         4cr</t>
  </si>
  <si>
    <t>YEAR 5</t>
  </si>
  <si>
    <t>1.  The Capstone Design Courses are taken as follows: (EECE4791 - Summer 1 and EECE4792 - Spring) OR (EECE4791 - Summer 2 and EECE4792 - Fall)</t>
  </si>
  <si>
    <t xml:space="preserve"> 5 years, 3 co-ops in Spring/Summer 1 [BB Pattern] </t>
  </si>
  <si>
    <r>
      <rPr>
        <b/>
        <sz val="11"/>
        <rFont val="Calibri"/>
        <family val="2"/>
        <scheme val="minor"/>
      </rPr>
      <t>MATH1341</t>
    </r>
    <r>
      <rPr>
        <sz val="11"/>
        <rFont val="Calibri"/>
        <family val="2"/>
        <scheme val="minor"/>
      </rPr>
      <t xml:space="preserve">  Calc 1 for Eng.        </t>
    </r>
    <r>
      <rPr>
        <b/>
        <sz val="11"/>
        <rFont val="Calibri"/>
        <family val="2"/>
        <scheme val="minor"/>
      </rPr>
      <t xml:space="preserve">4cr </t>
    </r>
  </si>
  <si>
    <r>
      <rPr>
        <b/>
        <sz val="11"/>
        <rFont val="Calibri"/>
        <family val="2"/>
      </rPr>
      <t xml:space="preserve">GE 1000    </t>
    </r>
    <r>
      <rPr>
        <sz val="11"/>
        <rFont val="Calibri"/>
        <family val="2"/>
      </rPr>
      <t xml:space="preserve">   First-Year Seminar </t>
    </r>
    <r>
      <rPr>
        <b/>
        <sz val="11"/>
        <rFont val="Calibri"/>
        <family val="2"/>
      </rPr>
      <t xml:space="preserve">    1cr</t>
    </r>
  </si>
  <si>
    <r>
      <t xml:space="preserve">      </t>
    </r>
    <r>
      <rPr>
        <b/>
        <sz val="11"/>
        <color theme="1"/>
        <rFont val="Calibri"/>
        <family val="2"/>
        <scheme val="minor"/>
      </rPr>
      <t xml:space="preserve">  2 CS courses from the following approved list</t>
    </r>
    <r>
      <rPr>
        <sz val="11"/>
        <color theme="1"/>
        <rFont val="Calibri"/>
        <family val="2"/>
        <scheme val="minor"/>
      </rPr>
      <t>:</t>
    </r>
  </si>
  <si>
    <t>EEPH Technical Elective Course Options (COE)</t>
  </si>
  <si>
    <t>Course offerings vary each semester, especially during the summer (summer offerings are limited), so double check which of these offerings are available in the semester you decide to take your tech electives</t>
  </si>
  <si>
    <r>
      <rPr>
        <sz val="11"/>
        <color rgb="FF000000"/>
        <rFont val="Calibri"/>
        <family val="2"/>
        <scheme val="minor"/>
      </rPr>
      <t xml:space="preserve">EECE students must complete </t>
    </r>
    <r>
      <rPr>
        <b/>
        <sz val="11"/>
        <color rgb="FF000000"/>
        <rFont val="Calibri"/>
        <family val="2"/>
        <scheme val="minor"/>
      </rPr>
      <t>two of the following courses</t>
    </r>
    <r>
      <rPr>
        <sz val="11"/>
        <color rgb="FF000000"/>
        <rFont val="Calibri"/>
        <family val="2"/>
        <scheme val="minor"/>
      </rPr>
      <t xml:space="preserve"> to fulfill the EECE tech elective requirement.</t>
    </r>
  </si>
  <si>
    <t>EECE 2750</t>
  </si>
  <si>
    <t>Enabling Engineering</t>
  </si>
  <si>
    <t>Any course from EECE 3324 to EECE 3410</t>
  </si>
  <si>
    <t>Any course from EECE 4512 to EECE 4698</t>
  </si>
  <si>
    <t>EECE 4991 (Research)</t>
  </si>
  <si>
    <t>EECE 4992 (Directed Study)</t>
  </si>
  <si>
    <t>EECE 4993 (Independent Study)</t>
  </si>
  <si>
    <t>Any course from EECE 5115 to EECE 5698</t>
  </si>
  <si>
    <t>ENGR 5670</t>
  </si>
  <si>
    <t>Sustainable Energy: Materials, Conversion, Storage, and Usage</t>
  </si>
  <si>
    <r>
      <rPr>
        <b/>
        <sz val="11"/>
        <color rgb="FF000000"/>
        <rFont val="Calibri"/>
        <family val="2"/>
        <scheme val="minor"/>
      </rPr>
      <t>Two</t>
    </r>
    <r>
      <rPr>
        <sz val="11"/>
        <color rgb="FF000000"/>
        <rFont val="Calibri"/>
        <family val="2"/>
        <scheme val="minor"/>
      </rPr>
      <t xml:space="preserve"> CS/CY/IS courses </t>
    </r>
    <r>
      <rPr>
        <b/>
        <sz val="11"/>
        <color rgb="FF000000"/>
        <rFont val="Calibri"/>
        <family val="2"/>
        <scheme val="minor"/>
      </rPr>
      <t>from the following approved list</t>
    </r>
    <r>
      <rPr>
        <sz val="11"/>
        <color rgb="FF000000"/>
        <rFont val="Calibri"/>
        <family val="2"/>
        <scheme val="minor"/>
      </rPr>
      <t xml:space="preserve"> may be taken towards the EECE tech elective requirement</t>
    </r>
  </si>
  <si>
    <t>CS 3200</t>
  </si>
  <si>
    <t>Database Design</t>
  </si>
  <si>
    <t>CS 3500</t>
  </si>
  <si>
    <t>Object-Oriented Design</t>
  </si>
  <si>
    <t>Any course from CS 3450 to CS 3800</t>
  </si>
  <si>
    <t>Any course from CS 4100 to CS 4770</t>
  </si>
  <si>
    <t>CS 4850</t>
  </si>
  <si>
    <t>Building Game Engines</t>
  </si>
  <si>
    <t>CY 2550</t>
  </si>
  <si>
    <t>Foundations of Cybersecurity</t>
  </si>
  <si>
    <t>Any course from IS 4200 to IS 4700</t>
  </si>
  <si>
    <t xml:space="preserve">COE General Elective Course Exclusions </t>
  </si>
  <si>
    <t>CS  1100</t>
  </si>
  <si>
    <t>ENGW1101</t>
  </si>
  <si>
    <t>ENGW1110</t>
  </si>
  <si>
    <t>ENGW3300</t>
  </si>
  <si>
    <t>ESL</t>
  </si>
  <si>
    <t>FSEM1103</t>
  </si>
  <si>
    <t>FSEM1104</t>
  </si>
  <si>
    <t>GENS1101</t>
  </si>
  <si>
    <t>MATH0000 through MATH1299</t>
  </si>
  <si>
    <t>MATH1343</t>
  </si>
  <si>
    <t>MATH1990</t>
  </si>
  <si>
    <t>EXSC****</t>
  </si>
  <si>
    <t>PHYS1121</t>
  </si>
  <si>
    <t>PHYS1141</t>
  </si>
  <si>
    <t>PHYS1145</t>
  </si>
  <si>
    <t>PHYS1147</t>
  </si>
  <si>
    <t>PHYS1149</t>
  </si>
  <si>
    <t>PHYS1150</t>
  </si>
  <si>
    <t xml:space="preserve">*Students who took GE1501 and GE1502 cannot take GE1110 or GE1111 as general electives, and vice versa. The content of these courses is repetitive. </t>
  </si>
  <si>
    <t>l elective or technical elective and vice versa as the content is repetitive.</t>
  </si>
  <si>
    <t>MATH3081</t>
  </si>
  <si>
    <t>The following majors cannot count MATH3081 as a general elective: CompE/CompSci, CompE/Physics, CompE, CivE, CivE/Arch Studies, EnvE, EnvE/Landscape Architecture, EnvE/Health Science, Industrial Engineering</t>
  </si>
  <si>
    <t>X</t>
  </si>
  <si>
    <t xml:space="preserve"> Name: Ibrahim Ayoub</t>
  </si>
  <si>
    <t>x</t>
  </si>
  <si>
    <t>Fundimentals of netwroks 2540</t>
  </si>
  <si>
    <t>EECE2412/13 Fundamentals of Electronics</t>
  </si>
  <si>
    <t>Spring</t>
  </si>
  <si>
    <t xml:space="preserve">Fall </t>
  </si>
  <si>
    <t>EECE2520 Fundamentals of Linear Systems</t>
  </si>
  <si>
    <t xml:space="preserve">EECE2322/23 Digital Design </t>
  </si>
  <si>
    <t>EECE2530 Elctromagnetics</t>
  </si>
  <si>
    <t xml:space="preserve">EECE4791  Capstone 1    </t>
  </si>
  <si>
    <t>EECExxxx  EECE Tech Elective 5  4cr</t>
  </si>
  <si>
    <t xml:space="preserve">  EECE2160   Embedded Design   4cr</t>
  </si>
  <si>
    <t xml:space="preserve">EECE2150   Circuits &amp; Signals     5cr    </t>
  </si>
  <si>
    <t>EECExxxx  EECE Tech Elective 6  4cr</t>
  </si>
  <si>
    <t xml:space="preserve">Summer </t>
  </si>
  <si>
    <t>Fall</t>
  </si>
  <si>
    <t>CS 3200Introduction to Databases  4cr</t>
  </si>
  <si>
    <t>EECE2750 Enabiling Engineering 4cr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</si>
</sst>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x14ac:knownFonts="1">
    <font>
      <sz val="11"/>
      <color theme="1"/>
      <name val="Calibri"/>
      <family val="2"/>
      <scheme val="minor"/>
    </font>
    <font>
      <sz val="12"/>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30"/>
      <color theme="1"/>
      <name val="Calibri"/>
      <family val="2"/>
      <scheme val="minor"/>
    </font>
    <font>
      <b/>
      <sz val="16"/>
      <color theme="1"/>
      <name val="Calibri"/>
      <family val="2"/>
      <scheme val="minor"/>
    </font>
    <font>
      <b/>
      <sz val="16"/>
      <color rgb="FF000000"/>
      <name val="Calibri"/>
      <family val="2"/>
      <scheme val="minor"/>
    </font>
    <font>
      <sz val="10"/>
      <color theme="1"/>
      <name val="Calibri"/>
      <family val="2"/>
      <scheme val="minor"/>
    </font>
    <font>
      <b/>
      <sz val="10"/>
      <color theme="1"/>
      <name val="Calibri"/>
      <family val="2"/>
      <scheme val="minor"/>
    </font>
    <font>
      <b/>
      <i/>
      <sz val="12"/>
      <color rgb="FFC0504D"/>
      <name val="Calibri"/>
      <family val="2"/>
      <scheme val="minor"/>
    </font>
    <font>
      <sz val="16"/>
      <color theme="1"/>
      <name val="Calibri"/>
      <family val="2"/>
      <scheme val="minor"/>
    </font>
    <font>
      <b/>
      <i/>
      <sz val="12"/>
      <color theme="5"/>
      <name val="Calibri"/>
      <family val="2"/>
      <scheme val="minor"/>
    </font>
    <font>
      <b/>
      <i/>
      <sz val="16"/>
      <name val="Calibri"/>
      <family val="2"/>
      <scheme val="minor"/>
    </font>
    <font>
      <b/>
      <i/>
      <sz val="16"/>
      <color rgb="FF000000"/>
      <name val="Calibri"/>
      <family val="2"/>
      <scheme val="minor"/>
    </font>
    <font>
      <b/>
      <i/>
      <sz val="14"/>
      <color rgb="FF000000"/>
      <name val="Calibri"/>
      <family val="2"/>
      <scheme val="minor"/>
    </font>
    <font>
      <b/>
      <sz val="14"/>
      <color theme="1"/>
      <name val="Calibri"/>
      <family val="2"/>
      <scheme val="minor"/>
    </font>
    <font>
      <sz val="9"/>
      <color theme="1"/>
      <name val="Calibri"/>
      <family val="2"/>
      <scheme val="minor"/>
    </font>
    <font>
      <sz val="10"/>
      <color rgb="FF000000"/>
      <name val="Calibri"/>
      <family val="2"/>
      <scheme val="minor"/>
    </font>
    <font>
      <sz val="8"/>
      <color rgb="FF000000"/>
      <name val="Calibri"/>
      <family val="2"/>
      <scheme val="minor"/>
    </font>
    <font>
      <b/>
      <sz val="12"/>
      <color rgb="FF000000"/>
      <name val="Calibri"/>
      <family val="2"/>
      <scheme val="minor"/>
    </font>
    <font>
      <u/>
      <sz val="11"/>
      <color theme="10"/>
      <name val="Calibri"/>
      <family val="2"/>
    </font>
    <font>
      <sz val="11"/>
      <name val="Calibri"/>
      <family val="2"/>
      <scheme val="minor"/>
    </font>
    <font>
      <b/>
      <sz val="11"/>
      <name val="Calibri"/>
      <family val="2"/>
      <scheme val="minor"/>
    </font>
    <font>
      <sz val="11"/>
      <name val="Calibri"/>
      <family val="2"/>
    </font>
    <font>
      <b/>
      <sz val="11"/>
      <name val="Calibri"/>
      <family val="2"/>
    </font>
    <font>
      <b/>
      <sz val="11"/>
      <color rgb="FFFF0000"/>
      <name val="Calibri"/>
      <family val="2"/>
      <scheme val="minor"/>
    </font>
    <font>
      <i/>
      <sz val="14"/>
      <color theme="1"/>
      <name val="Calibri"/>
      <family val="2"/>
      <scheme val="minor"/>
    </font>
    <font>
      <b/>
      <sz val="11"/>
      <color rgb="FF000000"/>
      <name val="Calibri"/>
      <family val="2"/>
      <scheme val="minor"/>
    </font>
    <font>
      <sz val="10"/>
      <name val="Calibri"/>
      <family val="2"/>
      <scheme val="minor"/>
    </font>
    <font>
      <b/>
      <sz val="11"/>
      <color rgb="FFC00000"/>
      <name val="Calibri"/>
      <family val="2"/>
      <scheme val="minor"/>
    </font>
    <font>
      <b/>
      <i/>
      <sz val="14"/>
      <name val="Calibri"/>
      <family val="2"/>
      <scheme val="minor"/>
    </font>
    <font>
      <b/>
      <sz val="14"/>
      <name val="Calibri"/>
      <family val="2"/>
      <scheme val="minor"/>
    </font>
    <font>
      <sz val="14"/>
      <color theme="1"/>
      <name val="Calibri"/>
      <family val="2"/>
      <scheme val="minor"/>
    </font>
    <font>
      <sz val="11"/>
      <color rgb="FFC00000"/>
      <name val="Calibri"/>
      <family val="2"/>
      <scheme val="minor"/>
    </font>
    <font>
      <sz val="8"/>
      <name val="Calibri"/>
      <family val="2"/>
      <scheme val="minor"/>
    </font>
    <font>
      <i/>
      <sz val="11"/>
      <color theme="1"/>
      <name val="Calibri"/>
      <family val="2"/>
      <scheme val="minor"/>
    </font>
    <font>
      <sz val="11"/>
      <color rgb="FF000000"/>
      <name val="Calibri"/>
      <family val="2"/>
      <scheme val="minor"/>
    </font>
    <font>
      <b/>
      <sz val="28"/>
      <color theme="1"/>
      <name val="Calibri"/>
      <family val="2"/>
      <scheme val="minor"/>
    </font>
    <font>
      <b/>
      <i/>
      <u/>
      <sz val="11"/>
      <name val="Calibri"/>
      <family val="2"/>
      <scheme val="minor"/>
    </font>
    <font>
      <b/>
      <sz val="14"/>
      <color rgb="FF000000"/>
      <name val="Calibri"/>
      <family val="2"/>
      <scheme val="minor"/>
    </font>
    <font>
      <b/>
      <u/>
      <sz val="11"/>
      <color theme="1"/>
      <name val="Calibri"/>
      <family val="2"/>
      <scheme val="minor"/>
    </font>
    <font>
      <sz val="28"/>
      <color theme="1"/>
      <name val="Calibri"/>
      <family val="2"/>
      <scheme val="minor"/>
    </font>
    <font>
      <u/>
      <sz val="11"/>
      <color theme="11"/>
      <name val="Calibri"/>
      <family val="2"/>
      <scheme val="minor"/>
    </font>
    <font>
      <b/>
      <u/>
      <sz val="24"/>
      <color theme="1"/>
      <name val="Calibri"/>
      <family val="2"/>
      <scheme val="minor"/>
    </font>
    <font>
      <u/>
      <sz val="10"/>
      <color theme="1"/>
      <name val="Calibri"/>
      <family val="2"/>
      <scheme val="minor"/>
    </font>
    <font>
      <sz val="12"/>
      <color theme="1"/>
      <name val="Calibri"/>
      <family val="2"/>
      <scheme val="minor"/>
    </font>
    <font>
      <b/>
      <sz val="12"/>
      <color theme="1"/>
      <name val="Calibri"/>
      <family val="2"/>
      <scheme val="minor"/>
    </font>
    <font>
      <b/>
      <u/>
      <sz val="12"/>
      <color theme="1"/>
      <name val="Calibri"/>
      <family val="2"/>
      <scheme val="minor"/>
    </font>
    <font>
      <b/>
      <i/>
      <sz val="11"/>
      <color theme="1"/>
      <name val="Calibri"/>
      <family val="2"/>
      <scheme val="minor"/>
    </font>
    <font>
      <b/>
      <i/>
      <sz val="12"/>
      <color theme="1"/>
      <name val="Calibri"/>
      <family val="2"/>
      <scheme val="minor"/>
    </font>
    <font>
      <i/>
      <sz val="10"/>
      <color theme="1"/>
      <name val="Calibri"/>
      <family val="2"/>
      <scheme val="minor"/>
    </font>
    <font>
      <b/>
      <sz val="9"/>
      <color indexed="81"/>
      <name val="Tahoma"/>
      <family val="2"/>
    </font>
    <font>
      <sz val="9"/>
      <color indexed="81"/>
      <name val="Tahoma"/>
      <family val="2"/>
    </font>
    <font>
      <b/>
      <sz val="11"/>
      <color rgb="FF000000"/>
      <name val="Calibri"/>
      <family val="2"/>
    </font>
    <font>
      <sz val="11"/>
      <color rgb="FF000000"/>
      <name val="Calibri"/>
      <family val="2"/>
    </font>
    <font>
      <b/>
      <sz val="12"/>
      <color rgb="FFFF0000"/>
      <name val="Calibri"/>
      <family val="2"/>
      <scheme val="minor"/>
    </font>
    <font>
      <i/>
      <sz val="11"/>
      <color rgb="FF000000"/>
      <name val="Calibri"/>
      <family val="2"/>
    </font>
    <font>
      <b/>
      <sz val="16"/>
      <color rgb="FF000000"/>
      <name val="Calibri"/>
      <family val="2"/>
    </font>
    <font>
      <sz val="11"/>
      <color rgb="FF000000"/>
      <name val="Calibri"/>
      <family val="2"/>
    </font>
    <font>
      <b/>
      <sz val="18"/>
      <color theme="1"/>
      <name val="Calibri"/>
      <family val="2"/>
      <scheme val="minor"/>
    </font>
    <font>
      <sz val="11"/>
      <color rgb="FF000000"/>
      <name val="Calibri"/>
      <family val="2"/>
      <scheme val="minor"/>
    </font>
    <font>
      <b/>
      <sz val="11"/>
      <color rgb="FF000000"/>
      <name val="Calibri"/>
      <family val="2"/>
      <scheme val="minor"/>
    </font>
    <font>
      <b/>
      <sz val="9"/>
      <color rgb="FF000000"/>
      <name val="Tahoma"/>
      <family val="2"/>
    </font>
  </fonts>
  <fills count="13">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CCCFF"/>
        <bgColor indexed="64"/>
      </patternFill>
    </fill>
    <fill>
      <patternFill patternType="solid">
        <fgColor rgb="FFFFCC66"/>
        <bgColor indexed="64"/>
      </patternFill>
    </fill>
    <fill>
      <patternFill patternType="solid">
        <fgColor rgb="FFCCCC00"/>
        <bgColor indexed="64"/>
      </patternFill>
    </fill>
    <fill>
      <patternFill patternType="solid">
        <fgColor rgb="FF66FFFF"/>
        <bgColor indexed="64"/>
      </patternFill>
    </fill>
    <fill>
      <patternFill patternType="solid">
        <fgColor rgb="FFFFFF66"/>
        <bgColor indexed="64"/>
      </patternFill>
    </fill>
    <fill>
      <patternFill patternType="solid">
        <fgColor rgb="FF00B0F0"/>
        <bgColor indexed="64"/>
      </patternFill>
    </fill>
    <fill>
      <patternFill patternType="solid">
        <fgColor theme="3" tint="0.79998168889431442"/>
        <bgColor indexed="64"/>
      </patternFill>
    </fill>
  </fills>
  <borders count="38">
    <border>
      <left/>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bottom style="thin">
        <color rgb="FF000000"/>
      </bottom>
      <diagonal/>
    </border>
    <border>
      <left style="thin">
        <color auto="1"/>
      </left>
      <right style="thin">
        <color auto="1"/>
      </right>
      <top/>
      <bottom style="thin">
        <color rgb="FF000000"/>
      </bottom>
      <diagonal/>
    </border>
    <border>
      <left/>
      <right style="thin">
        <color auto="1"/>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rgb="FF000000"/>
      </top>
      <bottom/>
      <diagonal/>
    </border>
    <border>
      <left/>
      <right style="medium">
        <color indexed="64"/>
      </right>
      <top/>
      <bottom style="thin">
        <color indexed="64"/>
      </bottom>
      <diagonal/>
    </border>
    <border>
      <left style="thin">
        <color rgb="FF000000"/>
      </left>
      <right style="thin">
        <color rgb="FF000000"/>
      </right>
      <top/>
      <bottom/>
      <diagonal/>
    </border>
    <border>
      <left style="thin">
        <color rgb="FF000000"/>
      </left>
      <right style="thin">
        <color auto="1"/>
      </right>
      <top style="thin">
        <color auto="1"/>
      </top>
      <bottom style="thin">
        <color auto="1"/>
      </bottom>
      <diagonal/>
    </border>
    <border>
      <left/>
      <right style="thin">
        <color rgb="FF000000"/>
      </right>
      <top/>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auto="1"/>
      </left>
      <right style="thin">
        <color rgb="FF000000"/>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auto="1"/>
      </bottom>
      <diagonal/>
    </border>
  </borders>
  <cellStyleXfs count="5">
    <xf numFmtId="0" fontId="0" fillId="0" borderId="0"/>
    <xf numFmtId="0" fontId="21" fillId="0" borderId="0" applyNumberFormat="0" applyFill="0" applyBorder="0" applyAlignment="0" applyProtection="0">
      <alignment vertical="top"/>
      <protection locked="0"/>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cellStyleXfs>
  <cellXfs count="520">
    <xf numFmtId="0" fontId="0" fillId="0" borderId="0" xfId="0"/>
    <xf numFmtId="0" fontId="8" fillId="0" borderId="0" xfId="0" applyFont="1"/>
    <xf numFmtId="0" fontId="8" fillId="0" borderId="0" xfId="0" applyFont="1" applyAlignment="1">
      <alignment vertical="center"/>
    </xf>
    <xf numFmtId="0" fontId="9" fillId="0" borderId="0" xfId="0" applyFont="1"/>
    <xf numFmtId="0" fontId="8" fillId="0" borderId="0" xfId="0" applyFont="1" applyAlignment="1">
      <alignment horizontal="center"/>
    </xf>
    <xf numFmtId="0" fontId="8" fillId="3" borderId="0" xfId="0" applyFont="1" applyFill="1"/>
    <xf numFmtId="0" fontId="9" fillId="0" borderId="0" xfId="0" applyFont="1" applyProtection="1">
      <protection locked="0"/>
    </xf>
    <xf numFmtId="0" fontId="8" fillId="0" borderId="0" xfId="0" applyFont="1" applyProtection="1">
      <protection locked="0"/>
    </xf>
    <xf numFmtId="0" fontId="8" fillId="0" borderId="0" xfId="0" applyFont="1" applyAlignment="1" applyProtection="1">
      <alignment horizontal="center"/>
      <protection locked="0"/>
    </xf>
    <xf numFmtId="0" fontId="8" fillId="0" borderId="0" xfId="0" applyFont="1" applyAlignment="1" applyProtection="1">
      <alignment vertical="center"/>
      <protection locked="0"/>
    </xf>
    <xf numFmtId="0" fontId="5" fillId="0" borderId="0" xfId="0" applyFont="1" applyAlignment="1" applyProtection="1">
      <alignment horizontal="left"/>
      <protection locked="0"/>
    </xf>
    <xf numFmtId="0" fontId="7" fillId="2" borderId="1" xfId="0" applyFont="1" applyFill="1" applyBorder="1" applyAlignment="1" applyProtection="1">
      <alignment horizontal="center"/>
      <protection locked="0"/>
    </xf>
    <xf numFmtId="0" fontId="7" fillId="3" borderId="0" xfId="0" applyFont="1" applyFill="1" applyAlignment="1" applyProtection="1">
      <alignment horizontal="center"/>
      <protection locked="0"/>
    </xf>
    <xf numFmtId="0" fontId="8" fillId="2" borderId="4" xfId="0" applyFont="1" applyFill="1" applyBorder="1" applyProtection="1">
      <protection locked="0"/>
    </xf>
    <xf numFmtId="0" fontId="7" fillId="5" borderId="8" xfId="0" applyFont="1" applyFill="1" applyBorder="1" applyAlignment="1" applyProtection="1">
      <alignment horizontal="center"/>
      <protection locked="0"/>
    </xf>
    <xf numFmtId="0" fontId="0" fillId="5" borderId="8" xfId="0" applyFill="1" applyBorder="1" applyAlignment="1" applyProtection="1">
      <alignment horizontal="center"/>
      <protection locked="0"/>
    </xf>
    <xf numFmtId="0" fontId="0" fillId="3" borderId="0" xfId="0" applyFill="1" applyAlignment="1" applyProtection="1">
      <alignment horizontal="center"/>
      <protection locked="0"/>
    </xf>
    <xf numFmtId="0" fontId="0" fillId="0" borderId="0" xfId="0" applyAlignment="1" applyProtection="1">
      <alignment vertical="center"/>
      <protection locked="0"/>
    </xf>
    <xf numFmtId="0" fontId="10" fillId="5" borderId="8" xfId="0" applyFont="1" applyFill="1" applyBorder="1" applyAlignment="1" applyProtection="1">
      <alignment horizontal="center" vertical="center"/>
      <protection locked="0"/>
    </xf>
    <xf numFmtId="0" fontId="10" fillId="3" borderId="0" xfId="0" applyFont="1" applyFill="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12" fillId="3" borderId="0" xfId="0" applyFont="1" applyFill="1" applyAlignment="1" applyProtection="1">
      <alignment horizontal="center" vertical="center"/>
      <protection locked="0"/>
    </xf>
    <xf numFmtId="0" fontId="12" fillId="0" borderId="2" xfId="0" applyFont="1" applyBorder="1" applyAlignment="1" applyProtection="1">
      <alignment horizontal="center" vertical="top"/>
      <protection locked="0"/>
    </xf>
    <xf numFmtId="0" fontId="8" fillId="5" borderId="1" xfId="0" applyFont="1" applyFill="1" applyBorder="1" applyAlignment="1" applyProtection="1">
      <alignment vertical="top"/>
      <protection locked="0"/>
    </xf>
    <xf numFmtId="0" fontId="8" fillId="3" borderId="0" xfId="0" applyFont="1" applyFill="1" applyAlignment="1" applyProtection="1">
      <alignment vertical="top"/>
      <protection locked="0"/>
    </xf>
    <xf numFmtId="0" fontId="8" fillId="0" borderId="0" xfId="0" applyFont="1" applyAlignment="1" applyProtection="1">
      <alignment vertical="top"/>
      <protection locked="0"/>
    </xf>
    <xf numFmtId="0" fontId="12" fillId="2" borderId="7" xfId="0" applyFont="1" applyFill="1" applyBorder="1" applyAlignment="1" applyProtection="1">
      <alignment horizontal="center"/>
      <protection locked="0"/>
    </xf>
    <xf numFmtId="0" fontId="13" fillId="5" borderId="7" xfId="0" applyFont="1" applyFill="1" applyBorder="1" applyAlignment="1" applyProtection="1">
      <alignment horizontal="left" vertical="center"/>
      <protection locked="0"/>
    </xf>
    <xf numFmtId="0" fontId="14" fillId="5" borderId="6" xfId="0" applyFont="1" applyFill="1" applyBorder="1" applyAlignment="1" applyProtection="1">
      <alignment horizontal="left" vertical="center"/>
      <protection locked="0"/>
    </xf>
    <xf numFmtId="0" fontId="15" fillId="2" borderId="10" xfId="0" applyFont="1" applyFill="1" applyBorder="1" applyAlignment="1" applyProtection="1">
      <alignment horizontal="left"/>
      <protection locked="0"/>
    </xf>
    <xf numFmtId="0" fontId="15" fillId="3" borderId="8" xfId="0" applyFont="1" applyFill="1" applyBorder="1" applyAlignment="1" applyProtection="1">
      <alignment horizontal="left"/>
      <protection locked="0"/>
    </xf>
    <xf numFmtId="0" fontId="8" fillId="2" borderId="10" xfId="0" applyFont="1" applyFill="1" applyBorder="1" applyProtection="1">
      <protection locked="0"/>
    </xf>
    <xf numFmtId="0" fontId="18" fillId="2" borderId="3" xfId="0" applyFont="1" applyFill="1" applyBorder="1" applyAlignment="1" applyProtection="1">
      <alignment horizontal="left" vertical="center"/>
      <protection locked="0"/>
    </xf>
    <xf numFmtId="0" fontId="19" fillId="5" borderId="5" xfId="0" applyFont="1" applyFill="1" applyBorder="1" applyAlignment="1" applyProtection="1">
      <alignment horizontal="left" vertical="top" wrapText="1"/>
      <protection locked="0"/>
    </xf>
    <xf numFmtId="0" fontId="19" fillId="5" borderId="1" xfId="0" applyFont="1" applyFill="1" applyBorder="1" applyAlignment="1" applyProtection="1">
      <alignment horizontal="left" vertical="top" wrapText="1"/>
      <protection locked="0"/>
    </xf>
    <xf numFmtId="0" fontId="20" fillId="2" borderId="1" xfId="0" applyFont="1" applyFill="1" applyBorder="1" applyAlignment="1" applyProtection="1">
      <alignment horizontal="left"/>
      <protection locked="0"/>
    </xf>
    <xf numFmtId="0" fontId="20" fillId="3" borderId="8" xfId="0" applyFont="1" applyFill="1" applyBorder="1" applyAlignment="1" applyProtection="1">
      <alignment horizontal="left"/>
      <protection locked="0"/>
    </xf>
    <xf numFmtId="0" fontId="8" fillId="2" borderId="1" xfId="0" applyFont="1" applyFill="1" applyBorder="1" applyProtection="1">
      <protection locked="0"/>
    </xf>
    <xf numFmtId="0" fontId="22" fillId="6" borderId="4" xfId="1" applyFont="1" applyFill="1" applyBorder="1" applyAlignment="1" applyProtection="1">
      <alignment vertical="center" wrapText="1"/>
      <protection locked="0"/>
    </xf>
    <xf numFmtId="0" fontId="24" fillId="6" borderId="4" xfId="1" applyFont="1" applyFill="1" applyBorder="1" applyAlignment="1" applyProtection="1">
      <alignment vertical="center" wrapText="1"/>
      <protection locked="0"/>
    </xf>
    <xf numFmtId="0" fontId="0" fillId="0" borderId="10" xfId="0" applyBorder="1" applyAlignment="1" applyProtection="1">
      <alignment vertical="center"/>
      <protection locked="0"/>
    </xf>
    <xf numFmtId="0" fontId="0" fillId="3" borderId="11" xfId="0" applyFill="1" applyBorder="1" applyAlignment="1" applyProtection="1">
      <alignment horizontal="center" vertical="center"/>
      <protection locked="0"/>
    </xf>
    <xf numFmtId="0" fontId="4" fillId="6" borderId="6" xfId="0" applyFont="1" applyFill="1" applyBorder="1" applyAlignment="1" applyProtection="1">
      <alignment vertical="center" wrapText="1"/>
      <protection locked="0"/>
    </xf>
    <xf numFmtId="0" fontId="8" fillId="5" borderId="10" xfId="0" applyFont="1" applyFill="1" applyBorder="1" applyProtection="1">
      <protection locked="0"/>
    </xf>
    <xf numFmtId="0" fontId="24" fillId="6" borderId="10" xfId="1" applyFont="1" applyFill="1" applyBorder="1" applyAlignment="1" applyProtection="1">
      <alignment vertical="center" wrapText="1"/>
      <protection locked="0"/>
    </xf>
    <xf numFmtId="0" fontId="24" fillId="6" borderId="13" xfId="1" applyFont="1" applyFill="1" applyBorder="1" applyAlignment="1" applyProtection="1">
      <alignment vertical="center" wrapText="1"/>
      <protection locked="0"/>
    </xf>
    <xf numFmtId="0" fontId="0" fillId="0" borderId="8" xfId="0" applyBorder="1" applyAlignment="1" applyProtection="1">
      <alignment vertical="center"/>
      <protection locked="0"/>
    </xf>
    <xf numFmtId="0" fontId="4" fillId="6" borderId="12" xfId="0" applyFont="1" applyFill="1"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8" fillId="5" borderId="8" xfId="0" applyFont="1" applyFill="1" applyBorder="1" applyProtection="1">
      <protection locked="0"/>
    </xf>
    <xf numFmtId="0" fontId="0" fillId="6" borderId="1" xfId="0" applyFill="1" applyBorder="1" applyAlignment="1" applyProtection="1">
      <alignment vertical="center" wrapText="1"/>
      <protection locked="0"/>
    </xf>
    <xf numFmtId="0" fontId="0" fillId="0" borderId="8" xfId="0" applyBorder="1" applyAlignment="1" applyProtection="1">
      <alignment horizontal="center" vertical="center"/>
      <protection locked="0"/>
    </xf>
    <xf numFmtId="0" fontId="4" fillId="6" borderId="17" xfId="0" applyFont="1" applyFill="1" applyBorder="1" applyAlignment="1" applyProtection="1">
      <alignment vertical="center" wrapText="1"/>
      <protection locked="0"/>
    </xf>
    <xf numFmtId="0" fontId="26" fillId="0" borderId="13" xfId="0" applyFont="1" applyBorder="1" applyAlignment="1" applyProtection="1">
      <alignment horizontal="center" vertical="center"/>
      <protection locked="0"/>
    </xf>
    <xf numFmtId="0" fontId="22" fillId="4" borderId="4" xfId="0" applyFont="1" applyFill="1" applyBorder="1" applyAlignment="1" applyProtection="1">
      <alignment horizontal="center" vertical="center"/>
      <protection locked="0"/>
    </xf>
    <xf numFmtId="0" fontId="0" fillId="4" borderId="4" xfId="0" applyFill="1" applyBorder="1" applyAlignment="1" applyProtection="1">
      <alignment horizontal="center" vertical="center"/>
      <protection locked="0"/>
    </xf>
    <xf numFmtId="0" fontId="8" fillId="5" borderId="8" xfId="0" applyFont="1" applyFill="1" applyBorder="1" applyAlignment="1" applyProtection="1">
      <alignment vertical="center"/>
      <protection locked="0"/>
    </xf>
    <xf numFmtId="0" fontId="24" fillId="7" borderId="4" xfId="1" applyFont="1" applyFill="1" applyBorder="1" applyAlignment="1" applyProtection="1">
      <alignment vertical="center" wrapText="1"/>
      <protection locked="0"/>
    </xf>
    <xf numFmtId="0" fontId="22" fillId="6" borderId="13" xfId="1" applyFont="1" applyFill="1" applyBorder="1" applyAlignment="1" applyProtection="1">
      <alignment vertical="center" wrapText="1"/>
      <protection locked="0"/>
    </xf>
    <xf numFmtId="0" fontId="24" fillId="9" borderId="4" xfId="1" applyFont="1" applyFill="1" applyBorder="1" applyAlignment="1" applyProtection="1">
      <alignment vertical="center" wrapText="1"/>
      <protection locked="0"/>
    </xf>
    <xf numFmtId="0" fontId="24" fillId="7" borderId="7" xfId="1" applyFont="1" applyFill="1" applyBorder="1" applyAlignment="1" applyProtection="1">
      <alignment vertical="center" wrapText="1"/>
      <protection locked="0"/>
    </xf>
    <xf numFmtId="0" fontId="26" fillId="0" borderId="4" xfId="0" applyFont="1" applyBorder="1" applyAlignment="1" applyProtection="1">
      <alignment horizontal="center" vertical="center"/>
      <protection locked="0"/>
    </xf>
    <xf numFmtId="0" fontId="24" fillId="8" borderId="4" xfId="1" applyFont="1" applyFill="1" applyBorder="1" applyAlignment="1" applyProtection="1">
      <alignment vertical="center" wrapText="1"/>
      <protection locked="0"/>
    </xf>
    <xf numFmtId="0" fontId="22" fillId="10" borderId="4" xfId="1" applyFont="1" applyFill="1" applyBorder="1" applyAlignment="1" applyProtection="1">
      <alignment vertical="center" wrapText="1"/>
      <protection locked="0"/>
    </xf>
    <xf numFmtId="0" fontId="0" fillId="0" borderId="5" xfId="0" applyBorder="1" applyAlignment="1" applyProtection="1">
      <alignment horizontal="center" vertical="center"/>
      <protection locked="0"/>
    </xf>
    <xf numFmtId="0" fontId="26" fillId="0" borderId="3" xfId="0" applyFont="1" applyBorder="1" applyAlignment="1" applyProtection="1">
      <alignment horizontal="center" vertical="center"/>
      <protection locked="0"/>
    </xf>
    <xf numFmtId="0" fontId="24" fillId="3" borderId="7" xfId="1" applyFont="1" applyFill="1" applyBorder="1" applyAlignment="1" applyProtection="1">
      <alignment vertical="center"/>
      <protection locked="0"/>
    </xf>
    <xf numFmtId="0" fontId="2" fillId="0" borderId="0" xfId="0" applyFont="1" applyAlignment="1" applyProtection="1">
      <alignment vertical="center"/>
      <protection locked="0"/>
    </xf>
    <xf numFmtId="0" fontId="2" fillId="3" borderId="3" xfId="0" applyFont="1" applyFill="1" applyBorder="1" applyProtection="1">
      <protection locked="0"/>
    </xf>
    <xf numFmtId="0" fontId="2" fillId="0" borderId="2" xfId="0" applyFont="1" applyBorder="1" applyProtection="1">
      <protection locked="0"/>
    </xf>
    <xf numFmtId="0" fontId="0" fillId="0" borderId="1" xfId="0" applyBorder="1" applyProtection="1">
      <protection locked="0"/>
    </xf>
    <xf numFmtId="0" fontId="28" fillId="2" borderId="16" xfId="0" applyFont="1" applyFill="1" applyBorder="1" applyAlignment="1" applyProtection="1">
      <alignment horizontal="center" vertical="center"/>
      <protection locked="0"/>
    </xf>
    <xf numFmtId="0" fontId="29" fillId="0" borderId="4" xfId="0" applyFont="1" applyBorder="1" applyProtection="1">
      <protection locked="0"/>
    </xf>
    <xf numFmtId="0" fontId="29" fillId="0" borderId="0" xfId="0" applyFont="1" applyProtection="1">
      <protection locked="0"/>
    </xf>
    <xf numFmtId="0" fontId="0" fillId="2" borderId="3" xfId="0" applyFill="1" applyBorder="1" applyAlignment="1" applyProtection="1">
      <alignment vertical="center"/>
      <protection locked="0"/>
    </xf>
    <xf numFmtId="0" fontId="20" fillId="3" borderId="11" xfId="0" applyFont="1" applyFill="1" applyBorder="1" applyAlignment="1" applyProtection="1">
      <alignment horizontal="left"/>
      <protection locked="0"/>
    </xf>
    <xf numFmtId="0" fontId="29" fillId="5" borderId="10" xfId="0" applyFont="1" applyFill="1" applyBorder="1" applyProtection="1">
      <protection locked="0"/>
    </xf>
    <xf numFmtId="0" fontId="29" fillId="5" borderId="4" xfId="0" applyFont="1" applyFill="1" applyBorder="1" applyAlignment="1" applyProtection="1">
      <alignment vertical="center"/>
      <protection locked="0"/>
    </xf>
    <xf numFmtId="0" fontId="0" fillId="5" borderId="0" xfId="0" applyFill="1" applyAlignment="1" applyProtection="1">
      <alignment vertical="center"/>
      <protection locked="0"/>
    </xf>
    <xf numFmtId="0" fontId="26" fillId="5" borderId="4" xfId="0" applyFont="1" applyFill="1" applyBorder="1" applyAlignment="1" applyProtection="1">
      <alignment horizontal="center" vertical="center"/>
      <protection locked="0"/>
    </xf>
    <xf numFmtId="0" fontId="26" fillId="5" borderId="4" xfId="0" applyFont="1" applyFill="1" applyBorder="1" applyAlignment="1" applyProtection="1">
      <alignment vertical="center"/>
      <protection locked="0"/>
    </xf>
    <xf numFmtId="0" fontId="29" fillId="5" borderId="13" xfId="0" applyFont="1" applyFill="1" applyBorder="1" applyAlignment="1" applyProtection="1">
      <alignment vertical="center"/>
      <protection locked="0"/>
    </xf>
    <xf numFmtId="0" fontId="29" fillId="5" borderId="8" xfId="0" applyFont="1" applyFill="1" applyBorder="1" applyProtection="1">
      <protection locked="0"/>
    </xf>
    <xf numFmtId="0" fontId="24" fillId="3" borderId="8" xfId="1" applyFont="1" applyFill="1" applyBorder="1" applyAlignment="1" applyProtection="1">
      <alignment vertical="center" wrapText="1"/>
      <protection locked="0"/>
    </xf>
    <xf numFmtId="0" fontId="0" fillId="5" borderId="18" xfId="0" applyFill="1" applyBorder="1" applyAlignment="1" applyProtection="1">
      <alignment vertical="center"/>
      <protection locked="0"/>
    </xf>
    <xf numFmtId="0" fontId="0" fillId="3" borderId="8" xfId="0" applyFill="1" applyBorder="1" applyAlignment="1" applyProtection="1">
      <alignment horizontal="center" vertical="center"/>
      <protection locked="0"/>
    </xf>
    <xf numFmtId="0" fontId="29" fillId="5" borderId="1" xfId="0" applyFont="1" applyFill="1" applyBorder="1" applyProtection="1">
      <protection locked="0"/>
    </xf>
    <xf numFmtId="0" fontId="29" fillId="2" borderId="8" xfId="0" applyFont="1" applyFill="1" applyBorder="1" applyProtection="1">
      <protection locked="0"/>
    </xf>
    <xf numFmtId="0" fontId="22" fillId="0" borderId="1" xfId="0" applyFont="1" applyBorder="1" applyProtection="1">
      <protection locked="0"/>
    </xf>
    <xf numFmtId="0" fontId="29" fillId="2" borderId="1" xfId="0" applyFont="1" applyFill="1" applyBorder="1" applyProtection="1">
      <protection locked="0"/>
    </xf>
    <xf numFmtId="0" fontId="22" fillId="2" borderId="16" xfId="0" applyFont="1" applyFill="1" applyBorder="1" applyAlignment="1" applyProtection="1">
      <alignment horizontal="center" vertical="center"/>
      <protection locked="0"/>
    </xf>
    <xf numFmtId="0" fontId="4" fillId="7" borderId="6" xfId="0" applyFont="1" applyFill="1" applyBorder="1" applyAlignment="1" applyProtection="1">
      <alignment vertical="center" wrapText="1"/>
      <protection locked="0"/>
    </xf>
    <xf numFmtId="0" fontId="19" fillId="5" borderId="1" xfId="0" applyFont="1" applyFill="1" applyBorder="1" applyAlignment="1" applyProtection="1">
      <alignment horizontal="left" vertical="center" wrapText="1"/>
      <protection locked="0"/>
    </xf>
    <xf numFmtId="0" fontId="4" fillId="7" borderId="17" xfId="0" applyFont="1" applyFill="1" applyBorder="1" applyAlignment="1" applyProtection="1">
      <alignment vertical="center" wrapText="1"/>
      <protection locked="0"/>
    </xf>
    <xf numFmtId="0" fontId="3" fillId="0" borderId="4" xfId="0" applyFont="1" applyBorder="1" applyAlignment="1" applyProtection="1">
      <alignment horizontal="center" vertical="center"/>
      <protection locked="0"/>
    </xf>
    <xf numFmtId="0" fontId="29" fillId="3" borderId="11" xfId="0" applyFont="1" applyFill="1" applyBorder="1" applyProtection="1">
      <protection locked="0"/>
    </xf>
    <xf numFmtId="0" fontId="22" fillId="3" borderId="11" xfId="0" applyFont="1" applyFill="1" applyBorder="1" applyAlignment="1" applyProtection="1">
      <alignment horizontal="left" vertical="center"/>
      <protection locked="0"/>
    </xf>
    <xf numFmtId="0" fontId="29" fillId="0" borderId="8" xfId="0" applyFont="1" applyBorder="1" applyProtection="1">
      <protection locked="0"/>
    </xf>
    <xf numFmtId="0" fontId="4" fillId="3" borderId="11" xfId="0" applyFont="1" applyFill="1" applyBorder="1" applyAlignment="1" applyProtection="1">
      <alignment horizontal="left" vertical="center"/>
      <protection locked="0"/>
    </xf>
    <xf numFmtId="0" fontId="4" fillId="7" borderId="12" xfId="0" applyFont="1" applyFill="1" applyBorder="1" applyAlignment="1" applyProtection="1">
      <alignment vertical="center" wrapText="1"/>
      <protection locked="0"/>
    </xf>
    <xf numFmtId="0" fontId="34" fillId="4" borderId="4" xfId="0" applyFont="1" applyFill="1" applyBorder="1" applyAlignment="1" applyProtection="1">
      <alignment horizontal="center" vertical="center"/>
      <protection locked="0"/>
    </xf>
    <xf numFmtId="0" fontId="4" fillId="7" borderId="17" xfId="0" applyFont="1" applyFill="1" applyBorder="1" applyAlignment="1" applyProtection="1">
      <alignment wrapText="1"/>
      <protection locked="0"/>
    </xf>
    <xf numFmtId="0" fontId="3" fillId="0" borderId="4" xfId="0" applyFont="1" applyBorder="1" applyAlignment="1" applyProtection="1">
      <alignment horizontal="center"/>
      <protection locked="0"/>
    </xf>
    <xf numFmtId="0" fontId="0" fillId="4" borderId="4" xfId="0" applyFill="1" applyBorder="1" applyProtection="1">
      <protection locked="0"/>
    </xf>
    <xf numFmtId="0" fontId="2" fillId="0" borderId="5" xfId="0" applyFont="1" applyBorder="1" applyAlignment="1" applyProtection="1">
      <alignment vertical="center" wrapText="1"/>
      <protection locked="0"/>
    </xf>
    <xf numFmtId="0" fontId="22" fillId="0" borderId="8" xfId="0" applyFont="1" applyBorder="1" applyProtection="1">
      <protection locked="0"/>
    </xf>
    <xf numFmtId="0" fontId="2" fillId="0" borderId="5" xfId="0" applyFont="1" applyBorder="1" applyAlignment="1" applyProtection="1">
      <alignment horizontal="center" vertical="center"/>
      <protection locked="0"/>
    </xf>
    <xf numFmtId="0" fontId="22" fillId="3" borderId="3" xfId="0" applyFont="1" applyFill="1" applyBorder="1" applyAlignment="1" applyProtection="1">
      <alignment vertical="center" wrapText="1"/>
      <protection locked="0"/>
    </xf>
    <xf numFmtId="0" fontId="2" fillId="0" borderId="0" xfId="0" applyFont="1" applyAlignment="1" applyProtection="1">
      <alignment horizontal="center" vertical="center"/>
      <protection locked="0"/>
    </xf>
    <xf numFmtId="0" fontId="19" fillId="5" borderId="8" xfId="0" applyFont="1" applyFill="1" applyBorder="1" applyAlignment="1" applyProtection="1">
      <alignment horizontal="left" vertical="top" wrapText="1"/>
      <protection locked="0"/>
    </xf>
    <xf numFmtId="0" fontId="23" fillId="3" borderId="8" xfId="0" applyFont="1" applyFill="1" applyBorder="1" applyAlignment="1" applyProtection="1">
      <alignment vertical="center"/>
      <protection locked="0"/>
    </xf>
    <xf numFmtId="0" fontId="23" fillId="3" borderId="11" xfId="0" applyFont="1" applyFill="1" applyBorder="1" applyAlignment="1" applyProtection="1">
      <alignment vertical="center"/>
      <protection locked="0"/>
    </xf>
    <xf numFmtId="0" fontId="30" fillId="7" borderId="18" xfId="0" applyFont="1" applyFill="1" applyBorder="1" applyAlignment="1" applyProtection="1">
      <alignment horizontal="center" vertical="center"/>
      <protection locked="0"/>
    </xf>
    <xf numFmtId="0" fontId="29" fillId="5" borderId="4" xfId="0" applyFont="1" applyFill="1" applyBorder="1" applyProtection="1">
      <protection locked="0"/>
    </xf>
    <xf numFmtId="0" fontId="2" fillId="0" borderId="1" xfId="0" applyFont="1" applyBorder="1" applyProtection="1">
      <protection locked="0"/>
    </xf>
    <xf numFmtId="0" fontId="0" fillId="0" borderId="0" xfId="0" applyProtection="1">
      <protection locked="0"/>
    </xf>
    <xf numFmtId="0" fontId="0" fillId="7" borderId="4" xfId="0" applyFill="1" applyBorder="1" applyProtection="1">
      <protection locked="0"/>
    </xf>
    <xf numFmtId="0" fontId="30" fillId="7" borderId="13" xfId="0" applyFont="1" applyFill="1" applyBorder="1" applyAlignment="1" applyProtection="1">
      <alignment horizontal="center" vertical="center"/>
      <protection locked="0"/>
    </xf>
    <xf numFmtId="0" fontId="35" fillId="7" borderId="4" xfId="0"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3" borderId="8" xfId="0" applyFill="1" applyBorder="1" applyProtection="1">
      <protection locked="0"/>
    </xf>
    <xf numFmtId="0" fontId="8" fillId="5" borderId="10" xfId="0" applyFont="1" applyFill="1" applyBorder="1" applyAlignment="1" applyProtection="1">
      <alignment horizontal="center" vertical="center"/>
      <protection locked="0"/>
    </xf>
    <xf numFmtId="0" fontId="0" fillId="5" borderId="8" xfId="0" applyFill="1" applyBorder="1" applyProtection="1">
      <protection locked="0"/>
    </xf>
    <xf numFmtId="0" fontId="0" fillId="5" borderId="4" xfId="0" applyFill="1" applyBorder="1" applyProtection="1">
      <protection locked="0"/>
    </xf>
    <xf numFmtId="0" fontId="0" fillId="0" borderId="8" xfId="0" applyBorder="1" applyProtection="1">
      <protection locked="0"/>
    </xf>
    <xf numFmtId="0" fontId="0" fillId="0" borderId="5" xfId="0" applyBorder="1" applyProtection="1">
      <protection locked="0"/>
    </xf>
    <xf numFmtId="0" fontId="0" fillId="8" borderId="9" xfId="0" applyFill="1" applyBorder="1" applyProtection="1">
      <protection locked="0"/>
    </xf>
    <xf numFmtId="0" fontId="0" fillId="2" borderId="8" xfId="0" applyFill="1" applyBorder="1" applyProtection="1">
      <protection locked="0"/>
    </xf>
    <xf numFmtId="0" fontId="0" fillId="0" borderId="3" xfId="0" applyBorder="1" applyProtection="1">
      <protection locked="0"/>
    </xf>
    <xf numFmtId="0" fontId="0" fillId="8" borderId="2" xfId="0" applyFill="1" applyBorder="1" applyProtection="1">
      <protection locked="0"/>
    </xf>
    <xf numFmtId="0" fontId="0" fillId="2" borderId="1" xfId="0" applyFill="1" applyBorder="1" applyProtection="1">
      <protection locked="0"/>
    </xf>
    <xf numFmtId="0" fontId="37" fillId="2" borderId="13" xfId="0" applyFont="1" applyFill="1" applyBorder="1" applyProtection="1">
      <protection locked="0"/>
    </xf>
    <xf numFmtId="0" fontId="37" fillId="5" borderId="4" xfId="0" applyFont="1" applyFill="1" applyBorder="1" applyProtection="1">
      <protection locked="0"/>
    </xf>
    <xf numFmtId="0" fontId="0" fillId="2" borderId="4" xfId="0" applyFill="1" applyBorder="1" applyAlignment="1" applyProtection="1">
      <alignment horizontal="center" vertical="center"/>
      <protection locked="0"/>
    </xf>
    <xf numFmtId="0" fontId="0" fillId="3" borderId="0" xfId="0" applyFill="1" applyAlignment="1" applyProtection="1">
      <alignment horizontal="center" vertical="center"/>
      <protection locked="0"/>
    </xf>
    <xf numFmtId="0" fontId="23" fillId="8" borderId="17" xfId="0" applyFont="1" applyFill="1" applyBorder="1" applyAlignment="1" applyProtection="1">
      <alignment wrapText="1"/>
      <protection locked="0"/>
    </xf>
    <xf numFmtId="0" fontId="0" fillId="5" borderId="10" xfId="0" applyFill="1" applyBorder="1" applyProtection="1">
      <protection locked="0"/>
    </xf>
    <xf numFmtId="0" fontId="37" fillId="3" borderId="9" xfId="0" applyFont="1" applyFill="1" applyBorder="1" applyProtection="1">
      <protection locked="0"/>
    </xf>
    <xf numFmtId="0" fontId="37" fillId="3" borderId="0" xfId="0" applyFont="1" applyFill="1" applyProtection="1">
      <protection locked="0"/>
    </xf>
    <xf numFmtId="0" fontId="0" fillId="3" borderId="9" xfId="0" applyFill="1" applyBorder="1" applyProtection="1">
      <protection locked="0"/>
    </xf>
    <xf numFmtId="0" fontId="37" fillId="0" borderId="0" xfId="0" applyFont="1" applyProtection="1">
      <protection locked="0"/>
    </xf>
    <xf numFmtId="0" fontId="0" fillId="5" borderId="1" xfId="0" applyFill="1" applyBorder="1" applyProtection="1">
      <protection locked="0"/>
    </xf>
    <xf numFmtId="0" fontId="37" fillId="3" borderId="2" xfId="0" applyFont="1" applyFill="1" applyBorder="1" applyProtection="1">
      <protection locked="0"/>
    </xf>
    <xf numFmtId="0" fontId="9" fillId="9" borderId="5" xfId="0" applyFont="1" applyFill="1" applyBorder="1" applyAlignment="1" applyProtection="1">
      <alignment horizontal="center" vertical="center"/>
      <protection locked="0"/>
    </xf>
    <xf numFmtId="0" fontId="29" fillId="9" borderId="0" xfId="0" applyFont="1" applyFill="1" applyProtection="1">
      <protection locked="0"/>
    </xf>
    <xf numFmtId="0" fontId="29" fillId="9" borderId="9" xfId="0" applyFont="1" applyFill="1" applyBorder="1" applyProtection="1">
      <protection locked="0"/>
    </xf>
    <xf numFmtId="0" fontId="0" fillId="2" borderId="10" xfId="0" applyFill="1" applyBorder="1" applyProtection="1">
      <protection locked="0"/>
    </xf>
    <xf numFmtId="0" fontId="29" fillId="9" borderId="2" xfId="0" applyFont="1" applyFill="1" applyBorder="1" applyProtection="1">
      <protection locked="0"/>
    </xf>
    <xf numFmtId="0" fontId="23" fillId="9" borderId="11" xfId="0" applyFont="1" applyFill="1" applyBorder="1" applyAlignment="1" applyProtection="1">
      <alignment vertical="center" wrapText="1"/>
      <protection locked="0"/>
    </xf>
    <xf numFmtId="0" fontId="23" fillId="9" borderId="6" xfId="0" applyFont="1" applyFill="1" applyBorder="1" applyAlignment="1" applyProtection="1">
      <alignment vertical="center" wrapText="1"/>
      <protection locked="0"/>
    </xf>
    <xf numFmtId="0" fontId="4" fillId="9" borderId="12" xfId="0" applyFont="1" applyFill="1" applyBorder="1" applyAlignment="1" applyProtection="1">
      <alignment vertical="center" wrapText="1"/>
      <protection locked="0"/>
    </xf>
    <xf numFmtId="0" fontId="28" fillId="5" borderId="6" xfId="0" applyFont="1" applyFill="1" applyBorder="1" applyAlignment="1" applyProtection="1">
      <alignment vertical="center" wrapText="1"/>
      <protection locked="0"/>
    </xf>
    <xf numFmtId="0" fontId="26" fillId="5" borderId="7" xfId="0" applyFont="1" applyFill="1" applyBorder="1" applyAlignment="1" applyProtection="1">
      <alignment horizontal="center" vertical="center"/>
      <protection locked="0"/>
    </xf>
    <xf numFmtId="0" fontId="26" fillId="5" borderId="10" xfId="0" applyFont="1" applyFill="1" applyBorder="1" applyAlignment="1" applyProtection="1">
      <alignment horizontal="center" vertical="center"/>
      <protection locked="0"/>
    </xf>
    <xf numFmtId="0" fontId="0" fillId="5" borderId="10" xfId="0" applyFill="1" applyBorder="1" applyAlignment="1" applyProtection="1">
      <alignment horizontal="center" vertical="center"/>
      <protection locked="0"/>
    </xf>
    <xf numFmtId="0" fontId="28" fillId="5" borderId="12" xfId="0" applyFont="1" applyFill="1" applyBorder="1" applyAlignment="1" applyProtection="1">
      <alignment vertical="center" wrapText="1"/>
      <protection locked="0"/>
    </xf>
    <xf numFmtId="0" fontId="3" fillId="5" borderId="3" xfId="0" applyFont="1" applyFill="1" applyBorder="1" applyAlignment="1" applyProtection="1">
      <alignment horizontal="center" vertical="center"/>
      <protection locked="0"/>
    </xf>
    <xf numFmtId="0" fontId="3" fillId="5" borderId="1" xfId="0" applyFont="1" applyFill="1" applyBorder="1" applyAlignment="1" applyProtection="1">
      <alignment horizontal="center" vertical="center"/>
      <protection locked="0"/>
    </xf>
    <xf numFmtId="0" fontId="0" fillId="5" borderId="1" xfId="0" applyFill="1" applyBorder="1" applyAlignment="1" applyProtection="1">
      <alignment horizontal="center" vertical="center"/>
      <protection locked="0"/>
    </xf>
    <xf numFmtId="0" fontId="23" fillId="10" borderId="17" xfId="0" applyFont="1" applyFill="1" applyBorder="1" applyAlignment="1" applyProtection="1">
      <alignment vertical="center" wrapText="1"/>
      <protection locked="0"/>
    </xf>
    <xf numFmtId="0" fontId="26" fillId="3" borderId="10" xfId="0" applyFont="1" applyFill="1" applyBorder="1" applyAlignment="1" applyProtection="1">
      <alignment horizontal="center" vertical="center"/>
      <protection locked="0"/>
    </xf>
    <xf numFmtId="0" fontId="0" fillId="3" borderId="4" xfId="0" applyFill="1" applyBorder="1" applyProtection="1">
      <protection locked="0"/>
    </xf>
    <xf numFmtId="0" fontId="8" fillId="3" borderId="4" xfId="0" applyFont="1" applyFill="1" applyBorder="1" applyProtection="1">
      <protection locked="0"/>
    </xf>
    <xf numFmtId="0" fontId="8" fillId="3" borderId="0" xfId="0" applyFont="1" applyFill="1" applyProtection="1">
      <protection locked="0"/>
    </xf>
    <xf numFmtId="0" fontId="26" fillId="3" borderId="4" xfId="0" applyFont="1" applyFill="1" applyBorder="1" applyAlignment="1" applyProtection="1">
      <alignment horizontal="center" vertical="center"/>
      <protection locked="0"/>
    </xf>
    <xf numFmtId="0" fontId="0" fillId="5" borderId="2" xfId="0" applyFill="1" applyBorder="1" applyAlignment="1" applyProtection="1">
      <alignment vertical="center"/>
      <protection locked="0"/>
    </xf>
    <xf numFmtId="0" fontId="29" fillId="5" borderId="17" xfId="0" applyFont="1" applyFill="1" applyBorder="1" applyAlignment="1" applyProtection="1">
      <alignment vertical="center"/>
      <protection locked="0"/>
    </xf>
    <xf numFmtId="0" fontId="26" fillId="5" borderId="18" xfId="0" applyFont="1" applyFill="1" applyBorder="1" applyAlignment="1" applyProtection="1">
      <alignment horizontal="center" vertical="center"/>
      <protection locked="0"/>
    </xf>
    <xf numFmtId="0" fontId="26" fillId="5" borderId="18" xfId="0" applyFont="1" applyFill="1" applyBorder="1" applyAlignment="1" applyProtection="1">
      <alignment vertical="center"/>
      <protection locked="0"/>
    </xf>
    <xf numFmtId="0" fontId="29" fillId="5" borderId="18" xfId="0" applyFont="1" applyFill="1" applyBorder="1" applyAlignment="1" applyProtection="1">
      <alignment vertical="center"/>
      <protection locked="0"/>
    </xf>
    <xf numFmtId="0" fontId="8" fillId="3" borderId="0" xfId="0" applyFont="1" applyFill="1" applyAlignment="1" applyProtection="1">
      <alignment vertical="center"/>
      <protection locked="0"/>
    </xf>
    <xf numFmtId="0" fontId="4" fillId="4" borderId="6" xfId="0" applyFont="1" applyFill="1" applyBorder="1" applyAlignment="1" applyProtection="1">
      <alignment vertical="center"/>
      <protection locked="0"/>
    </xf>
    <xf numFmtId="0" fontId="0" fillId="4" borderId="7" xfId="0" applyFill="1" applyBorder="1" applyProtection="1">
      <protection locked="0"/>
    </xf>
    <xf numFmtId="0" fontId="4" fillId="4" borderId="0" xfId="0" applyFont="1" applyFill="1" applyAlignment="1" applyProtection="1">
      <alignment vertical="center"/>
      <protection locked="0"/>
    </xf>
    <xf numFmtId="0" fontId="0" fillId="4" borderId="5" xfId="0" applyFill="1" applyBorder="1" applyProtection="1">
      <protection locked="0"/>
    </xf>
    <xf numFmtId="0" fontId="4" fillId="4" borderId="5" xfId="0" applyFont="1" applyFill="1" applyBorder="1" applyProtection="1">
      <protection locked="0"/>
    </xf>
    <xf numFmtId="0" fontId="4" fillId="4" borderId="4" xfId="0" applyFont="1" applyFill="1" applyBorder="1" applyAlignment="1" applyProtection="1">
      <alignment vertical="center"/>
      <protection locked="0"/>
    </xf>
    <xf numFmtId="0" fontId="4" fillId="4" borderId="13" xfId="0" applyFont="1" applyFill="1" applyBorder="1" applyAlignment="1" applyProtection="1">
      <alignment vertical="center"/>
      <protection locked="0"/>
    </xf>
    <xf numFmtId="0" fontId="6" fillId="0" borderId="0" xfId="0" applyFont="1" applyAlignment="1" applyProtection="1">
      <alignment horizontal="right"/>
      <protection locked="0"/>
    </xf>
    <xf numFmtId="0" fontId="26" fillId="3" borderId="13" xfId="0" applyFont="1" applyFill="1" applyBorder="1" applyAlignment="1" applyProtection="1">
      <alignment horizontal="center" vertical="center"/>
      <protection locked="0"/>
    </xf>
    <xf numFmtId="0" fontId="30" fillId="3" borderId="4" xfId="0" applyFont="1" applyFill="1" applyBorder="1" applyAlignment="1" applyProtection="1">
      <alignment horizontal="center" vertical="center"/>
      <protection locked="0"/>
    </xf>
    <xf numFmtId="0" fontId="29" fillId="4" borderId="13" xfId="0" applyFont="1" applyFill="1" applyBorder="1" applyAlignment="1" applyProtection="1">
      <alignment vertical="center"/>
      <protection locked="0"/>
    </xf>
    <xf numFmtId="0" fontId="26" fillId="0" borderId="4" xfId="0" applyFont="1" applyBorder="1" applyAlignment="1" applyProtection="1">
      <alignment horizontal="center" vertical="center" wrapText="1"/>
      <protection locked="0"/>
    </xf>
    <xf numFmtId="0" fontId="0" fillId="4" borderId="4" xfId="0" applyFill="1" applyBorder="1" applyAlignment="1" applyProtection="1">
      <alignment horizontal="center" vertical="center" wrapText="1"/>
      <protection locked="0"/>
    </xf>
    <xf numFmtId="0" fontId="4" fillId="7" borderId="4" xfId="0" applyFont="1" applyFill="1" applyBorder="1" applyAlignment="1" applyProtection="1">
      <alignment vertical="center" wrapText="1"/>
      <protection locked="0"/>
    </xf>
    <xf numFmtId="0" fontId="4" fillId="3" borderId="4" xfId="0" applyFont="1" applyFill="1" applyBorder="1" applyAlignment="1" applyProtection="1">
      <alignment vertical="center" wrapText="1"/>
      <protection locked="0"/>
    </xf>
    <xf numFmtId="0" fontId="22" fillId="4" borderId="4" xfId="0" applyFont="1" applyFill="1" applyBorder="1" applyAlignment="1" applyProtection="1">
      <alignment horizontal="center"/>
      <protection locked="0"/>
    </xf>
    <xf numFmtId="0" fontId="8" fillId="0" borderId="4" xfId="0" applyFont="1" applyBorder="1" applyProtection="1">
      <protection locked="0"/>
    </xf>
    <xf numFmtId="0" fontId="0" fillId="0" borderId="10" xfId="0" applyBorder="1" applyProtection="1">
      <protection locked="0"/>
    </xf>
    <xf numFmtId="0" fontId="8" fillId="0" borderId="1" xfId="0" applyFont="1" applyBorder="1" applyProtection="1">
      <protection locked="0"/>
    </xf>
    <xf numFmtId="0" fontId="0" fillId="0" borderId="4" xfId="0" applyBorder="1" applyProtection="1">
      <protection locked="0"/>
    </xf>
    <xf numFmtId="0" fontId="30" fillId="3" borderId="13" xfId="0" applyFont="1" applyFill="1" applyBorder="1" applyAlignment="1" applyProtection="1">
      <alignment horizontal="center" vertical="center"/>
      <protection locked="0"/>
    </xf>
    <xf numFmtId="0" fontId="8" fillId="0" borderId="4" xfId="0" applyFont="1" applyBorder="1" applyAlignment="1" applyProtection="1">
      <alignment vertical="center"/>
      <protection locked="0"/>
    </xf>
    <xf numFmtId="0" fontId="8" fillId="0" borderId="10" xfId="0" applyFont="1" applyBorder="1" applyAlignment="1" applyProtection="1">
      <alignment vertical="center"/>
      <protection locked="0"/>
    </xf>
    <xf numFmtId="0" fontId="8" fillId="0" borderId="1" xfId="0" applyFont="1" applyBorder="1" applyAlignment="1" applyProtection="1">
      <alignment vertical="center"/>
      <protection locked="0"/>
    </xf>
    <xf numFmtId="0" fontId="2" fillId="0" borderId="8" xfId="0" applyFont="1" applyBorder="1" applyProtection="1">
      <protection locked="0"/>
    </xf>
    <xf numFmtId="0" fontId="29" fillId="0" borderId="11" xfId="0" applyFont="1" applyBorder="1" applyProtection="1">
      <protection locked="0"/>
    </xf>
    <xf numFmtId="0" fontId="0" fillId="0" borderId="12" xfId="0" applyBorder="1" applyProtection="1">
      <protection locked="0"/>
    </xf>
    <xf numFmtId="0" fontId="2" fillId="0" borderId="10"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45" fillId="11" borderId="22" xfId="0" applyFont="1" applyFill="1" applyBorder="1" applyProtection="1">
      <protection locked="0"/>
    </xf>
    <xf numFmtId="0" fontId="45" fillId="11" borderId="24" xfId="0" applyFont="1" applyFill="1" applyBorder="1" applyProtection="1">
      <protection locked="0"/>
    </xf>
    <xf numFmtId="0" fontId="46" fillId="0" borderId="0" xfId="0" applyFont="1" applyProtection="1">
      <protection locked="0"/>
    </xf>
    <xf numFmtId="0" fontId="37" fillId="3" borderId="24" xfId="0" applyFont="1" applyFill="1" applyBorder="1" applyProtection="1">
      <protection locked="0"/>
    </xf>
    <xf numFmtId="0" fontId="47" fillId="0" borderId="23" xfId="0" applyFont="1" applyBorder="1"/>
    <xf numFmtId="0" fontId="8" fillId="3" borderId="24" xfId="0" applyFont="1" applyFill="1" applyBorder="1" applyProtection="1">
      <protection locked="0"/>
    </xf>
    <xf numFmtId="0" fontId="47" fillId="0" borderId="23" xfId="0" applyFont="1" applyBorder="1" applyProtection="1">
      <protection locked="0"/>
    </xf>
    <xf numFmtId="0" fontId="48" fillId="0" borderId="0" xfId="0" applyFont="1" applyProtection="1">
      <protection locked="0"/>
    </xf>
    <xf numFmtId="0" fontId="47" fillId="0" borderId="0" xfId="0" applyFont="1" applyProtection="1">
      <protection locked="0"/>
    </xf>
    <xf numFmtId="0" fontId="9" fillId="3" borderId="24" xfId="0" applyFont="1" applyFill="1" applyBorder="1" applyProtection="1">
      <protection locked="0"/>
    </xf>
    <xf numFmtId="0" fontId="8" fillId="0" borderId="24" xfId="0" applyFont="1" applyBorder="1" applyProtection="1">
      <protection locked="0"/>
    </xf>
    <xf numFmtId="0" fontId="49" fillId="0" borderId="23" xfId="0" applyFont="1" applyBorder="1" applyAlignment="1" applyProtection="1">
      <alignment vertical="center"/>
      <protection locked="0"/>
    </xf>
    <xf numFmtId="0" fontId="8" fillId="0" borderId="24" xfId="0" applyFont="1" applyBorder="1" applyAlignment="1" applyProtection="1">
      <alignment vertical="center"/>
      <protection locked="0"/>
    </xf>
    <xf numFmtId="0" fontId="47" fillId="0" borderId="0" xfId="0" applyFont="1" applyAlignment="1" applyProtection="1">
      <alignment vertical="center"/>
      <protection locked="0"/>
    </xf>
    <xf numFmtId="0" fontId="50" fillId="0" borderId="23" xfId="0" applyFont="1" applyBorder="1" applyProtection="1">
      <protection locked="0"/>
    </xf>
    <xf numFmtId="0" fontId="51" fillId="0" borderId="0" xfId="0" applyFont="1" applyProtection="1">
      <protection locked="0"/>
    </xf>
    <xf numFmtId="0" fontId="49" fillId="0" borderId="23" xfId="0" applyFont="1" applyBorder="1" applyProtection="1">
      <protection locked="0"/>
    </xf>
    <xf numFmtId="0" fontId="46" fillId="0" borderId="23" xfId="0" applyFont="1" applyBorder="1" applyProtection="1">
      <protection locked="0"/>
    </xf>
    <xf numFmtId="0" fontId="47" fillId="0" borderId="24" xfId="0" applyFont="1" applyBorder="1" applyProtection="1">
      <protection locked="0"/>
    </xf>
    <xf numFmtId="0" fontId="8" fillId="0" borderId="23" xfId="0" applyFont="1" applyBorder="1" applyProtection="1">
      <protection locked="0"/>
    </xf>
    <xf numFmtId="0" fontId="50" fillId="0" borderId="0" xfId="0" applyFont="1" applyProtection="1">
      <protection locked="0"/>
    </xf>
    <xf numFmtId="0" fontId="47" fillId="0" borderId="25" xfId="0" applyFont="1" applyBorder="1" applyProtection="1">
      <protection locked="0"/>
    </xf>
    <xf numFmtId="0" fontId="8" fillId="0" borderId="26" xfId="0" applyFont="1" applyBorder="1" applyProtection="1">
      <protection locked="0"/>
    </xf>
    <xf numFmtId="0" fontId="8" fillId="0" borderId="27" xfId="0" applyFont="1" applyBorder="1" applyProtection="1">
      <protection locked="0"/>
    </xf>
    <xf numFmtId="0" fontId="49" fillId="0" borderId="11" xfId="0" applyFont="1" applyBorder="1" applyAlignment="1">
      <alignment horizontal="left" indent="3"/>
    </xf>
    <xf numFmtId="0" fontId="4" fillId="7" borderId="13" xfId="0" applyFont="1" applyFill="1" applyBorder="1" applyAlignment="1" applyProtection="1">
      <alignment vertical="center" wrapText="1"/>
      <protection locked="0"/>
    </xf>
    <xf numFmtId="0" fontId="22" fillId="10" borderId="13" xfId="1" applyFont="1" applyFill="1" applyBorder="1" applyAlignment="1" applyProtection="1">
      <alignment vertical="center" wrapText="1"/>
      <protection locked="0"/>
    </xf>
    <xf numFmtId="0" fontId="24" fillId="8" borderId="13" xfId="1" applyFont="1" applyFill="1" applyBorder="1" applyAlignment="1" applyProtection="1">
      <alignment vertical="center" wrapText="1"/>
      <protection locked="0"/>
    </xf>
    <xf numFmtId="0" fontId="22" fillId="0" borderId="3" xfId="0" applyFont="1" applyBorder="1" applyProtection="1">
      <protection locked="0"/>
    </xf>
    <xf numFmtId="0" fontId="23" fillId="9" borderId="1" xfId="0" applyFont="1" applyFill="1" applyBorder="1" applyAlignment="1" applyProtection="1">
      <alignment vertical="center" wrapText="1"/>
      <protection locked="0"/>
    </xf>
    <xf numFmtId="0" fontId="22" fillId="2" borderId="28" xfId="0" applyFont="1" applyFill="1" applyBorder="1" applyAlignment="1" applyProtection="1">
      <alignment horizontal="center" vertical="center"/>
      <protection locked="0"/>
    </xf>
    <xf numFmtId="0" fontId="13" fillId="5" borderId="4" xfId="0" applyFont="1" applyFill="1" applyBorder="1" applyAlignment="1" applyProtection="1">
      <alignment horizontal="left" vertical="center"/>
      <protection locked="0"/>
    </xf>
    <xf numFmtId="0" fontId="18" fillId="2" borderId="2" xfId="0" applyFont="1" applyFill="1" applyBorder="1" applyAlignment="1" applyProtection="1">
      <alignment horizontal="left" vertical="center"/>
      <protection locked="0"/>
    </xf>
    <xf numFmtId="0" fontId="19" fillId="5" borderId="4" xfId="0" applyFont="1" applyFill="1" applyBorder="1" applyAlignment="1" applyProtection="1">
      <alignment horizontal="left" vertical="top" wrapText="1"/>
      <protection locked="0"/>
    </xf>
    <xf numFmtId="0" fontId="29" fillId="0" borderId="7" xfId="0" applyFont="1" applyBorder="1" applyProtection="1">
      <protection locked="0"/>
    </xf>
    <xf numFmtId="0" fontId="2" fillId="0" borderId="0" xfId="0" applyFont="1" applyProtection="1">
      <protection locked="0"/>
    </xf>
    <xf numFmtId="0" fontId="8" fillId="0" borderId="5" xfId="0" applyFont="1" applyBorder="1" applyAlignment="1" applyProtection="1">
      <alignment vertical="center"/>
      <protection locked="0"/>
    </xf>
    <xf numFmtId="0" fontId="47" fillId="0" borderId="29" xfId="0" applyFont="1" applyBorder="1" applyProtection="1">
      <protection locked="0"/>
    </xf>
    <xf numFmtId="0" fontId="9" fillId="0" borderId="21" xfId="0" applyFont="1" applyBorder="1" applyProtection="1">
      <protection locked="0"/>
    </xf>
    <xf numFmtId="0" fontId="0" fillId="4" borderId="6" xfId="0" applyFill="1" applyBorder="1" applyAlignment="1" applyProtection="1">
      <alignment vertical="top" wrapText="1"/>
      <protection locked="0"/>
    </xf>
    <xf numFmtId="0" fontId="0" fillId="0" borderId="7" xfId="0" applyBorder="1" applyAlignment="1" applyProtection="1">
      <alignment vertical="top" wrapText="1"/>
      <protection locked="0"/>
    </xf>
    <xf numFmtId="0" fontId="0" fillId="0" borderId="11" xfId="0" applyBorder="1" applyAlignment="1" applyProtection="1">
      <alignment vertical="top" wrapText="1"/>
      <protection locked="0"/>
    </xf>
    <xf numFmtId="0" fontId="0" fillId="0" borderId="5"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 xfId="0" applyBorder="1" applyAlignment="1" applyProtection="1">
      <alignment vertical="top" wrapText="1"/>
      <protection locked="0"/>
    </xf>
    <xf numFmtId="0" fontId="2" fillId="0" borderId="8" xfId="0" applyFont="1" applyBorder="1" applyAlignment="1" applyProtection="1">
      <alignment horizontal="center" vertical="center"/>
      <protection locked="0"/>
    </xf>
    <xf numFmtId="0" fontId="0" fillId="3" borderId="11" xfId="0" applyFill="1" applyBorder="1" applyProtection="1">
      <protection locked="0"/>
    </xf>
    <xf numFmtId="0" fontId="2" fillId="0" borderId="12" xfId="0" applyFont="1" applyBorder="1" applyProtection="1">
      <protection locked="0"/>
    </xf>
    <xf numFmtId="0" fontId="15" fillId="3" borderId="5" xfId="0" applyFont="1" applyFill="1" applyBorder="1" applyAlignment="1" applyProtection="1">
      <alignment horizontal="left"/>
      <protection locked="0"/>
    </xf>
    <xf numFmtId="0" fontId="20" fillId="3" borderId="5" xfId="0" applyFont="1" applyFill="1" applyBorder="1" applyAlignment="1" applyProtection="1">
      <alignment horizontal="left"/>
      <protection locked="0"/>
    </xf>
    <xf numFmtId="0" fontId="0" fillId="3" borderId="5" xfId="0" applyFill="1" applyBorder="1" applyProtection="1">
      <protection locked="0"/>
    </xf>
    <xf numFmtId="0" fontId="0" fillId="3" borderId="5" xfId="0" applyFill="1" applyBorder="1" applyAlignment="1" applyProtection="1">
      <alignment horizontal="center" vertical="center"/>
      <protection locked="0"/>
    </xf>
    <xf numFmtId="0" fontId="0" fillId="3" borderId="0" xfId="0" applyFill="1" applyProtection="1">
      <protection locked="0"/>
    </xf>
    <xf numFmtId="0" fontId="22" fillId="3" borderId="5" xfId="0" applyFont="1" applyFill="1" applyBorder="1" applyAlignment="1" applyProtection="1">
      <alignment vertical="center" wrapText="1"/>
      <protection locked="0"/>
    </xf>
    <xf numFmtId="0" fontId="22" fillId="2" borderId="10" xfId="0" applyFont="1" applyFill="1" applyBorder="1" applyAlignment="1" applyProtection="1">
      <alignment horizontal="center" vertical="center"/>
      <protection locked="0"/>
    </xf>
    <xf numFmtId="0" fontId="18" fillId="2" borderId="1" xfId="0" applyFont="1" applyFill="1" applyBorder="1" applyAlignment="1" applyProtection="1">
      <alignment horizontal="left" vertical="center"/>
      <protection locked="0"/>
    </xf>
    <xf numFmtId="0" fontId="0" fillId="0" borderId="2" xfId="0" applyBorder="1" applyProtection="1">
      <protection locked="0"/>
    </xf>
    <xf numFmtId="0" fontId="0" fillId="0" borderId="0" xfId="0" applyAlignment="1" applyProtection="1">
      <alignment wrapText="1"/>
      <protection locked="0"/>
    </xf>
    <xf numFmtId="0" fontId="26" fillId="0" borderId="7" xfId="0" applyFont="1" applyBorder="1" applyAlignment="1" applyProtection="1">
      <alignment horizontal="center" vertical="center"/>
      <protection locked="0"/>
    </xf>
    <xf numFmtId="0" fontId="22" fillId="4" borderId="10" xfId="0" applyFont="1" applyFill="1" applyBorder="1" applyAlignment="1" applyProtection="1">
      <alignment horizontal="center" vertical="center"/>
      <protection locked="0"/>
    </xf>
    <xf numFmtId="0" fontId="23" fillId="7" borderId="17" xfId="0" applyFont="1" applyFill="1" applyBorder="1" applyAlignment="1" applyProtection="1">
      <alignment vertical="center" wrapText="1"/>
      <protection locked="0"/>
    </xf>
    <xf numFmtId="0" fontId="0" fillId="4" borderId="10"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20" fillId="0" borderId="23" xfId="0" applyFont="1" applyBorder="1" applyAlignment="1">
      <alignment vertical="top"/>
    </xf>
    <xf numFmtId="0" fontId="23" fillId="6" borderId="4" xfId="1" applyFont="1" applyFill="1" applyBorder="1" applyAlignment="1" applyProtection="1">
      <alignment vertical="center" wrapText="1"/>
      <protection locked="0"/>
    </xf>
    <xf numFmtId="0" fontId="0" fillId="3" borderId="0" xfId="0" applyFill="1"/>
    <xf numFmtId="0" fontId="8" fillId="0" borderId="8" xfId="0" applyFont="1" applyBorder="1" applyAlignment="1" applyProtection="1">
      <alignment vertical="center"/>
      <protection locked="0"/>
    </xf>
    <xf numFmtId="0" fontId="23" fillId="9" borderId="9" xfId="0" applyFont="1" applyFill="1" applyBorder="1" applyAlignment="1" applyProtection="1">
      <alignment vertical="center" wrapText="1"/>
      <protection locked="0"/>
    </xf>
    <xf numFmtId="0" fontId="23" fillId="9" borderId="2" xfId="0" applyFont="1" applyFill="1" applyBorder="1" applyAlignment="1" applyProtection="1">
      <alignment vertical="center" wrapText="1"/>
      <protection locked="0"/>
    </xf>
    <xf numFmtId="0" fontId="22" fillId="0" borderId="5" xfId="0" applyFont="1" applyBorder="1" applyProtection="1">
      <protection locked="0"/>
    </xf>
    <xf numFmtId="0" fontId="9" fillId="3" borderId="5" xfId="0" applyFont="1" applyFill="1" applyBorder="1" applyAlignment="1" applyProtection="1">
      <alignment horizontal="center" vertical="center"/>
      <protection locked="0"/>
    </xf>
    <xf numFmtId="0" fontId="17" fillId="3" borderId="1" xfId="0" applyFont="1" applyFill="1" applyBorder="1" applyAlignment="1" applyProtection="1">
      <alignment horizontal="center" vertical="center" textRotation="180"/>
      <protection locked="0"/>
    </xf>
    <xf numFmtId="0" fontId="17" fillId="3" borderId="1" xfId="0" applyFont="1" applyFill="1" applyBorder="1" applyAlignment="1" applyProtection="1">
      <alignment horizontal="center" vertical="center" textRotation="180" wrapText="1"/>
      <protection locked="0"/>
    </xf>
    <xf numFmtId="0" fontId="4" fillId="7" borderId="11" xfId="0" applyFont="1" applyFill="1" applyBorder="1" applyAlignment="1" applyProtection="1">
      <alignment horizontal="left" vertical="center" wrapText="1"/>
      <protection locked="0"/>
    </xf>
    <xf numFmtId="0" fontId="23" fillId="9" borderId="10" xfId="0" applyFont="1" applyFill="1" applyBorder="1" applyAlignment="1" applyProtection="1">
      <alignment vertical="center" wrapText="1"/>
      <protection locked="0"/>
    </xf>
    <xf numFmtId="0" fontId="8" fillId="0" borderId="8" xfId="0" applyFont="1" applyBorder="1" applyProtection="1">
      <protection locked="0"/>
    </xf>
    <xf numFmtId="0" fontId="55" fillId="6" borderId="4" xfId="1" applyFont="1" applyFill="1" applyBorder="1" applyAlignment="1" applyProtection="1">
      <alignment vertical="center" wrapText="1"/>
      <protection locked="0"/>
    </xf>
    <xf numFmtId="0" fontId="55" fillId="6" borderId="13" xfId="1" applyFont="1" applyFill="1" applyBorder="1" applyAlignment="1" applyProtection="1">
      <alignment vertical="center" wrapText="1"/>
      <protection locked="0"/>
    </xf>
    <xf numFmtId="0" fontId="4" fillId="0" borderId="0" xfId="0" applyFont="1" applyAlignment="1" applyProtection="1">
      <alignment vertical="center"/>
      <protection locked="0"/>
    </xf>
    <xf numFmtId="0" fontId="4" fillId="0" borderId="0" xfId="0" applyFont="1" applyProtection="1">
      <protection locked="0"/>
    </xf>
    <xf numFmtId="0" fontId="4" fillId="0" borderId="23" xfId="0" applyFont="1" applyBorder="1" applyProtection="1">
      <protection locked="0"/>
    </xf>
    <xf numFmtId="0" fontId="4" fillId="0" borderId="25" xfId="0" applyFont="1" applyBorder="1" applyProtection="1">
      <protection locked="0"/>
    </xf>
    <xf numFmtId="0" fontId="0" fillId="0" borderId="26" xfId="0" applyBorder="1" applyProtection="1">
      <protection locked="0"/>
    </xf>
    <xf numFmtId="0" fontId="4" fillId="0" borderId="23" xfId="0" applyFont="1" applyBorder="1" applyAlignment="1" applyProtection="1">
      <alignment vertical="center"/>
      <protection locked="0"/>
    </xf>
    <xf numFmtId="0" fontId="4" fillId="0" borderId="0" xfId="0" applyFont="1" applyAlignment="1">
      <alignment horizontal="left" indent="3"/>
    </xf>
    <xf numFmtId="0" fontId="29" fillId="0" borderId="6" xfId="0" applyFont="1" applyBorder="1" applyProtection="1">
      <protection locked="0"/>
    </xf>
    <xf numFmtId="0" fontId="4" fillId="7" borderId="10" xfId="0" applyFont="1" applyFill="1" applyBorder="1" applyAlignment="1" applyProtection="1">
      <alignment vertical="center" wrapText="1"/>
      <protection locked="0"/>
    </xf>
    <xf numFmtId="0" fontId="29" fillId="0" borderId="30" xfId="0" applyFont="1" applyBorder="1" applyProtection="1">
      <protection locked="0"/>
    </xf>
    <xf numFmtId="0" fontId="4" fillId="7" borderId="4" xfId="0" applyFont="1" applyFill="1" applyBorder="1" applyAlignment="1" applyProtection="1">
      <alignment horizontal="left" vertical="center" wrapText="1"/>
      <protection locked="0"/>
    </xf>
    <xf numFmtId="0" fontId="59" fillId="0" borderId="0" xfId="0" applyFont="1" applyAlignment="1">
      <alignment wrapText="1"/>
    </xf>
    <xf numFmtId="0" fontId="4" fillId="12" borderId="0" xfId="0" applyFont="1" applyFill="1" applyAlignment="1">
      <alignment horizontal="left"/>
    </xf>
    <xf numFmtId="0" fontId="0" fillId="12" borderId="0" xfId="0" applyFill="1"/>
    <xf numFmtId="0" fontId="4" fillId="0" borderId="0" xfId="0" applyFont="1" applyAlignment="1">
      <alignment horizontal="left"/>
    </xf>
    <xf numFmtId="0" fontId="4" fillId="12" borderId="0" xfId="0" applyFont="1" applyFill="1"/>
    <xf numFmtId="0" fontId="4" fillId="0" borderId="0" xfId="0" applyFont="1"/>
    <xf numFmtId="0" fontId="0" fillId="12" borderId="0" xfId="0" applyFill="1" applyAlignment="1">
      <alignment horizontal="left"/>
    </xf>
    <xf numFmtId="0" fontId="0" fillId="0" borderId="0" xfId="0" applyAlignment="1">
      <alignment horizontal="left"/>
    </xf>
    <xf numFmtId="0" fontId="62" fillId="6" borderId="4" xfId="1" applyFont="1" applyFill="1" applyBorder="1" applyAlignment="1" applyProtection="1">
      <alignment vertical="center" wrapText="1"/>
      <protection locked="0"/>
    </xf>
    <xf numFmtId="0" fontId="24" fillId="6" borderId="31" xfId="1" applyFont="1" applyFill="1" applyBorder="1" applyAlignment="1" applyProtection="1">
      <alignment vertical="center" wrapText="1"/>
      <protection locked="0"/>
    </xf>
    <xf numFmtId="0" fontId="22" fillId="6" borderId="31" xfId="1" applyFont="1" applyFill="1" applyBorder="1" applyAlignment="1" applyProtection="1">
      <alignment vertical="center" wrapText="1"/>
      <protection locked="0"/>
    </xf>
    <xf numFmtId="0" fontId="4" fillId="7" borderId="31" xfId="0" applyFont="1" applyFill="1" applyBorder="1" applyAlignment="1" applyProtection="1">
      <alignment vertical="center" wrapText="1"/>
      <protection locked="0"/>
    </xf>
    <xf numFmtId="0" fontId="24" fillId="8" borderId="31" xfId="1" applyFont="1" applyFill="1" applyBorder="1" applyAlignment="1" applyProtection="1">
      <alignment vertical="center" wrapText="1"/>
      <protection locked="0"/>
    </xf>
    <xf numFmtId="0" fontId="29" fillId="0" borderId="32" xfId="0" applyFont="1" applyBorder="1" applyProtection="1">
      <protection locked="0"/>
    </xf>
    <xf numFmtId="0" fontId="8" fillId="0" borderId="32" xfId="0" applyFont="1" applyBorder="1" applyProtection="1">
      <protection locked="0"/>
    </xf>
    <xf numFmtId="0" fontId="0" fillId="0" borderId="32" xfId="0" applyBorder="1" applyProtection="1">
      <protection locked="0"/>
    </xf>
    <xf numFmtId="0" fontId="4" fillId="7" borderId="13" xfId="0" applyFont="1" applyFill="1" applyBorder="1" applyAlignment="1" applyProtection="1">
      <alignment horizontal="left" vertical="center" wrapText="1"/>
      <protection locked="0"/>
    </xf>
    <xf numFmtId="0" fontId="22" fillId="10" borderId="18" xfId="1" applyFont="1" applyFill="1" applyBorder="1" applyAlignment="1" applyProtection="1">
      <alignment vertical="center" wrapText="1"/>
      <protection locked="0"/>
    </xf>
    <xf numFmtId="0" fontId="2" fillId="0" borderId="5" xfId="0" applyFont="1" applyBorder="1" applyProtection="1">
      <protection locked="0"/>
    </xf>
    <xf numFmtId="0" fontId="62" fillId="7" borderId="31" xfId="0" applyFont="1" applyFill="1" applyBorder="1" applyAlignment="1" applyProtection="1">
      <alignment vertical="center" wrapText="1"/>
      <protection locked="0"/>
    </xf>
    <xf numFmtId="0" fontId="8" fillId="0" borderId="32" xfId="0" applyFont="1" applyBorder="1" applyAlignment="1" applyProtection="1">
      <alignment vertical="center"/>
      <protection locked="0"/>
    </xf>
    <xf numFmtId="0" fontId="29" fillId="0" borderId="34" xfId="0" applyFont="1" applyBorder="1" applyProtection="1">
      <protection locked="0"/>
    </xf>
    <xf numFmtId="0" fontId="8" fillId="0" borderId="36" xfId="0" applyFont="1" applyBorder="1" applyProtection="1">
      <protection locked="0"/>
    </xf>
    <xf numFmtId="0" fontId="2" fillId="0" borderId="37" xfId="0" applyFont="1" applyBorder="1" applyProtection="1">
      <protection locked="0"/>
    </xf>
    <xf numFmtId="0" fontId="0" fillId="0" borderId="36" xfId="0" applyBorder="1" applyProtection="1">
      <protection locked="0"/>
    </xf>
    <xf numFmtId="0" fontId="32" fillId="3" borderId="8" xfId="0" applyFont="1" applyFill="1" applyBorder="1" applyAlignment="1" applyProtection="1">
      <alignment vertical="center"/>
      <protection locked="0"/>
    </xf>
    <xf numFmtId="0" fontId="17" fillId="4" borderId="18" xfId="0" applyFont="1" applyFill="1" applyBorder="1" applyAlignment="1" applyProtection="1">
      <alignment horizontal="center"/>
      <protection locked="0"/>
    </xf>
    <xf numFmtId="0" fontId="17" fillId="4" borderId="18" xfId="0" applyFont="1" applyFill="1" applyBorder="1" applyProtection="1">
      <protection locked="0"/>
    </xf>
    <xf numFmtId="0" fontId="17" fillId="4" borderId="13" xfId="0" applyFont="1" applyFill="1" applyBorder="1" applyProtection="1">
      <protection locked="0"/>
    </xf>
    <xf numFmtId="0" fontId="8" fillId="3" borderId="17" xfId="0" applyFont="1" applyFill="1" applyBorder="1" applyAlignment="1" applyProtection="1">
      <alignment vertical="center"/>
      <protection locked="0"/>
    </xf>
    <xf numFmtId="0" fontId="0" fillId="3" borderId="13" xfId="0" applyFill="1" applyBorder="1" applyProtection="1">
      <protection locked="0"/>
    </xf>
    <xf numFmtId="0" fontId="26" fillId="0" borderId="17" xfId="0" applyFont="1" applyBorder="1" applyAlignment="1">
      <alignment horizontal="center" vertical="center"/>
    </xf>
    <xf numFmtId="0" fontId="0" fillId="0" borderId="13" xfId="0" applyBorder="1" applyAlignment="1">
      <alignment horizontal="center" vertical="center"/>
    </xf>
    <xf numFmtId="0" fontId="16" fillId="4" borderId="6" xfId="0" applyFont="1" applyFill="1" applyBorder="1" applyAlignment="1" applyProtection="1">
      <alignment vertical="top"/>
      <protection locked="0"/>
    </xf>
    <xf numFmtId="0" fontId="0" fillId="4" borderId="9" xfId="0" applyFill="1" applyBorder="1" applyAlignment="1" applyProtection="1">
      <alignment vertical="top"/>
      <protection locked="0"/>
    </xf>
    <xf numFmtId="0" fontId="8" fillId="4" borderId="9" xfId="0" applyFont="1" applyFill="1" applyBorder="1" applyAlignment="1" applyProtection="1">
      <alignment horizontal="center"/>
      <protection locked="0"/>
    </xf>
    <xf numFmtId="0" fontId="0" fillId="0" borderId="9" xfId="0" applyBorder="1" applyProtection="1">
      <protection locked="0"/>
    </xf>
    <xf numFmtId="0" fontId="0" fillId="0" borderId="7" xfId="0" applyBorder="1" applyProtection="1">
      <protection locked="0"/>
    </xf>
    <xf numFmtId="0" fontId="0" fillId="0" borderId="2" xfId="0" applyBorder="1" applyProtection="1">
      <protection locked="0"/>
    </xf>
    <xf numFmtId="0" fontId="0" fillId="0" borderId="3" xfId="0" applyBorder="1" applyProtection="1">
      <protection locked="0"/>
    </xf>
    <xf numFmtId="0" fontId="8" fillId="4" borderId="11" xfId="0" applyFont="1" applyFill="1" applyBorder="1" applyAlignment="1" applyProtection="1">
      <alignment vertical="top" wrapText="1"/>
      <protection locked="0"/>
    </xf>
    <xf numFmtId="0" fontId="8" fillId="4" borderId="0" xfId="0" applyFont="1" applyFill="1" applyAlignment="1" applyProtection="1">
      <alignment vertical="top" wrapText="1"/>
      <protection locked="0"/>
    </xf>
    <xf numFmtId="0" fontId="8" fillId="4" borderId="5" xfId="0" applyFont="1" applyFill="1" applyBorder="1" applyAlignment="1" applyProtection="1">
      <alignment vertical="top" wrapText="1"/>
      <protection locked="0"/>
    </xf>
    <xf numFmtId="0" fontId="0" fillId="4" borderId="11" xfId="0" applyFill="1" applyBorder="1" applyAlignment="1" applyProtection="1">
      <alignment wrapText="1"/>
      <protection locked="0"/>
    </xf>
    <xf numFmtId="0" fontId="0" fillId="4" borderId="5" xfId="0" applyFill="1" applyBorder="1" applyAlignment="1" applyProtection="1">
      <alignment wrapText="1"/>
      <protection locked="0"/>
    </xf>
    <xf numFmtId="0" fontId="0" fillId="4" borderId="12" xfId="0" applyFill="1" applyBorder="1" applyAlignment="1" applyProtection="1">
      <alignment wrapText="1"/>
      <protection locked="0"/>
    </xf>
    <xf numFmtId="0" fontId="0" fillId="4" borderId="3" xfId="0" applyFill="1" applyBorder="1" applyAlignment="1" applyProtection="1">
      <alignment wrapText="1"/>
      <protection locked="0"/>
    </xf>
    <xf numFmtId="0" fontId="58" fillId="0" borderId="0" xfId="0" applyFont="1" applyAlignment="1">
      <alignment horizontal="left"/>
    </xf>
    <xf numFmtId="0" fontId="8" fillId="0" borderId="0" xfId="0" applyFont="1" applyAlignment="1">
      <alignment horizontal="left"/>
    </xf>
    <xf numFmtId="0" fontId="17" fillId="4" borderId="13" xfId="0" applyFont="1" applyFill="1" applyBorder="1" applyAlignment="1" applyProtection="1">
      <alignment horizontal="center"/>
      <protection locked="0"/>
    </xf>
    <xf numFmtId="0" fontId="17" fillId="4" borderId="4" xfId="0" applyFont="1" applyFill="1" applyBorder="1" applyProtection="1">
      <protection locked="0"/>
    </xf>
    <xf numFmtId="0" fontId="26" fillId="3" borderId="4" xfId="0" applyFont="1" applyFill="1" applyBorder="1" applyAlignment="1">
      <alignment horizontal="center" vertical="center"/>
    </xf>
    <xf numFmtId="0" fontId="26" fillId="3" borderId="4" xfId="0" applyFont="1" applyFill="1" applyBorder="1" applyAlignment="1">
      <alignment horizontal="center"/>
    </xf>
    <xf numFmtId="0" fontId="4" fillId="4" borderId="4" xfId="0" applyFont="1" applyFill="1" applyBorder="1" applyAlignment="1" applyProtection="1">
      <alignment horizontal="center" vertical="center"/>
      <protection locked="0"/>
    </xf>
    <xf numFmtId="0" fontId="4" fillId="4" borderId="4" xfId="0" applyFont="1" applyFill="1" applyBorder="1" applyAlignment="1" applyProtection="1">
      <alignment horizontal="center"/>
      <protection locked="0"/>
    </xf>
    <xf numFmtId="0" fontId="59" fillId="0" borderId="0" xfId="0" applyFont="1" applyAlignment="1">
      <alignment horizontal="center" wrapText="1"/>
    </xf>
    <xf numFmtId="0" fontId="40" fillId="4" borderId="6" xfId="0" applyFont="1" applyFill="1" applyBorder="1" applyAlignment="1" applyProtection="1">
      <alignment vertical="center"/>
      <protection locked="0"/>
    </xf>
    <xf numFmtId="0" fontId="0" fillId="0" borderId="12" xfId="0" applyBorder="1" applyProtection="1">
      <protection locked="0"/>
    </xf>
    <xf numFmtId="0" fontId="17" fillId="4" borderId="17" xfId="0" applyFont="1" applyFill="1" applyBorder="1" applyAlignment="1" applyProtection="1">
      <alignment horizontal="center" vertical="center"/>
      <protection locked="0"/>
    </xf>
    <xf numFmtId="0" fontId="0" fillId="0" borderId="18" xfId="0" applyBorder="1" applyProtection="1">
      <protection locked="0"/>
    </xf>
    <xf numFmtId="0" fontId="0" fillId="0" borderId="13" xfId="0" applyBorder="1" applyProtection="1">
      <protection locked="0"/>
    </xf>
    <xf numFmtId="0" fontId="23" fillId="4" borderId="17" xfId="0" applyFont="1" applyFill="1"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4" borderId="6" xfId="0" applyFill="1" applyBorder="1" applyAlignment="1" applyProtection="1">
      <alignment horizontal="left" vertical="top" wrapText="1"/>
      <protection locked="0"/>
    </xf>
    <xf numFmtId="0" fontId="0" fillId="4" borderId="7" xfId="0" applyFill="1" applyBorder="1" applyAlignment="1" applyProtection="1">
      <alignment horizontal="left" vertical="top" wrapText="1"/>
      <protection locked="0"/>
    </xf>
    <xf numFmtId="0" fontId="0" fillId="4" borderId="11" xfId="0" applyFill="1" applyBorder="1" applyAlignment="1" applyProtection="1">
      <alignment horizontal="left" vertical="top" wrapText="1"/>
      <protection locked="0"/>
    </xf>
    <xf numFmtId="0" fontId="0" fillId="4" borderId="5" xfId="0" applyFill="1" applyBorder="1" applyAlignment="1" applyProtection="1">
      <alignment horizontal="left" vertical="top" wrapText="1"/>
      <protection locked="0"/>
    </xf>
    <xf numFmtId="0" fontId="0" fillId="4" borderId="12" xfId="0" applyFill="1" applyBorder="1" applyAlignment="1" applyProtection="1">
      <alignment horizontal="left" vertical="top" wrapText="1"/>
      <protection locked="0"/>
    </xf>
    <xf numFmtId="0" fontId="0" fillId="4" borderId="3" xfId="0" applyFill="1" applyBorder="1" applyAlignment="1" applyProtection="1">
      <alignment horizontal="left" vertical="top" wrapText="1"/>
      <protection locked="0"/>
    </xf>
    <xf numFmtId="0" fontId="26" fillId="0" borderId="10" xfId="0" applyFont="1" applyBorder="1" applyAlignment="1" applyProtection="1">
      <alignment horizontal="center" vertical="center"/>
      <protection locked="0"/>
    </xf>
    <xf numFmtId="0" fontId="0" fillId="0" borderId="1" xfId="0" applyBorder="1" applyAlignment="1">
      <alignment horizontal="center" vertical="center"/>
    </xf>
    <xf numFmtId="0" fontId="0" fillId="4" borderId="10"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4" fillId="10" borderId="10" xfId="0"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4" fillId="0" borderId="0" xfId="0" applyFont="1" applyProtection="1">
      <protection locked="0"/>
    </xf>
    <xf numFmtId="0" fontId="4" fillId="0" borderId="0" xfId="0" applyFont="1" applyAlignment="1" applyProtection="1">
      <alignment horizontal="left"/>
      <protection locked="0"/>
    </xf>
    <xf numFmtId="0" fontId="44" fillId="11" borderId="20" xfId="0" applyFont="1" applyFill="1" applyBorder="1" applyProtection="1">
      <protection locked="0"/>
    </xf>
    <xf numFmtId="0" fontId="44" fillId="11" borderId="21" xfId="0" applyFont="1" applyFill="1" applyBorder="1"/>
    <xf numFmtId="0" fontId="44" fillId="11" borderId="23" xfId="0" applyFont="1" applyFill="1" applyBorder="1"/>
    <xf numFmtId="0" fontId="44" fillId="11" borderId="0" xfId="0" applyFont="1" applyFill="1"/>
    <xf numFmtId="0" fontId="16" fillId="9" borderId="10" xfId="0" applyFont="1" applyFill="1" applyBorder="1" applyAlignment="1" applyProtection="1">
      <alignment horizontal="left" vertical="center" wrapText="1"/>
      <protection locked="0"/>
    </xf>
    <xf numFmtId="0" fontId="0" fillId="0" borderId="1" xfId="0" applyBorder="1" applyAlignment="1" applyProtection="1">
      <alignment horizontal="left" vertical="center" wrapText="1"/>
      <protection locked="0"/>
    </xf>
    <xf numFmtId="0" fontId="17" fillId="9" borderId="10" xfId="0" applyFont="1" applyFill="1" applyBorder="1" applyAlignment="1" applyProtection="1">
      <alignment horizontal="center" vertical="center" textRotation="180"/>
      <protection locked="0"/>
    </xf>
    <xf numFmtId="0" fontId="0" fillId="0" borderId="1" xfId="0" applyBorder="1" applyAlignment="1" applyProtection="1">
      <alignment horizontal="center" vertical="center" textRotation="180"/>
      <protection locked="0"/>
    </xf>
    <xf numFmtId="0" fontId="17" fillId="9" borderId="10" xfId="0" applyFont="1" applyFill="1" applyBorder="1" applyAlignment="1" applyProtection="1">
      <alignment horizontal="center" vertical="center" textRotation="180" wrapText="1"/>
      <protection locked="0"/>
    </xf>
    <xf numFmtId="0" fontId="0" fillId="0" borderId="1" xfId="0" applyBorder="1" applyAlignment="1" applyProtection="1">
      <alignment horizontal="center" vertical="center" textRotation="180" wrapText="1"/>
      <protection locked="0"/>
    </xf>
    <xf numFmtId="0" fontId="31" fillId="5" borderId="10" xfId="0" applyFont="1" applyFill="1" applyBorder="1" applyAlignment="1" applyProtection="1">
      <alignment horizontal="center" vertical="center" textRotation="180"/>
      <protection locked="0"/>
    </xf>
    <xf numFmtId="0" fontId="31" fillId="5" borderId="8" xfId="0" applyFont="1" applyFill="1" applyBorder="1" applyAlignment="1" applyProtection="1">
      <alignment horizontal="center" vertical="center" textRotation="180"/>
      <protection locked="0"/>
    </xf>
    <xf numFmtId="0" fontId="31" fillId="5" borderId="1" xfId="0" applyFont="1" applyFill="1" applyBorder="1" applyAlignment="1" applyProtection="1">
      <alignment horizontal="center" vertical="center" textRotation="180"/>
      <protection locked="0"/>
    </xf>
    <xf numFmtId="0" fontId="16" fillId="8" borderId="10" xfId="0" applyFont="1" applyFill="1" applyBorder="1" applyAlignment="1" applyProtection="1">
      <alignment vertical="center" wrapText="1"/>
      <protection locked="0"/>
    </xf>
    <xf numFmtId="0" fontId="33" fillId="8" borderId="1" xfId="0" applyFont="1" applyFill="1" applyBorder="1" applyAlignment="1" applyProtection="1">
      <alignment vertical="center" wrapText="1"/>
      <protection locked="0"/>
    </xf>
    <xf numFmtId="0" fontId="9" fillId="8" borderId="7" xfId="0" applyFont="1" applyFill="1" applyBorder="1" applyAlignment="1" applyProtection="1">
      <alignment horizontal="center" vertical="center"/>
      <protection locked="0"/>
    </xf>
    <xf numFmtId="0" fontId="9" fillId="8" borderId="5" xfId="0" applyFont="1" applyFill="1" applyBorder="1" applyAlignment="1" applyProtection="1">
      <alignment horizontal="center" vertical="center"/>
      <protection locked="0"/>
    </xf>
    <xf numFmtId="0" fontId="17" fillId="8" borderId="10" xfId="0" applyFont="1" applyFill="1" applyBorder="1" applyAlignment="1" applyProtection="1">
      <alignment horizontal="center" vertical="center" textRotation="180"/>
      <protection locked="0"/>
    </xf>
    <xf numFmtId="0" fontId="17" fillId="8" borderId="1" xfId="0" applyFont="1" applyFill="1" applyBorder="1" applyAlignment="1" applyProtection="1">
      <alignment horizontal="center" vertical="center" textRotation="180"/>
      <protection locked="0"/>
    </xf>
    <xf numFmtId="0" fontId="17" fillId="8" borderId="10" xfId="0" applyFont="1" applyFill="1" applyBorder="1" applyAlignment="1" applyProtection="1">
      <alignment horizontal="center" vertical="center" textRotation="180" wrapText="1"/>
      <protection locked="0"/>
    </xf>
    <xf numFmtId="0" fontId="17" fillId="8" borderId="1" xfId="0" applyFont="1" applyFill="1" applyBorder="1" applyAlignment="1" applyProtection="1">
      <alignment horizontal="center" vertical="center" textRotation="180" wrapText="1"/>
      <protection locked="0"/>
    </xf>
    <xf numFmtId="0" fontId="20" fillId="0" borderId="23" xfId="0" applyFont="1" applyBorder="1" applyAlignment="1">
      <alignment vertical="top"/>
    </xf>
    <xf numFmtId="0" fontId="20" fillId="0" borderId="0" xfId="0" applyFont="1" applyAlignment="1">
      <alignment vertical="top"/>
    </xf>
    <xf numFmtId="0" fontId="40" fillId="10" borderId="10" xfId="0" applyFont="1" applyFill="1" applyBorder="1" applyAlignment="1" applyProtection="1">
      <alignment vertical="center" wrapText="1"/>
      <protection locked="0"/>
    </xf>
    <xf numFmtId="0" fontId="0" fillId="0" borderId="1" xfId="0" applyBorder="1" applyAlignment="1" applyProtection="1">
      <alignment vertical="center" wrapText="1"/>
      <protection locked="0"/>
    </xf>
    <xf numFmtId="0" fontId="9" fillId="10" borderId="10" xfId="0" quotePrefix="1" applyFont="1" applyFill="1"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17" fillId="10" borderId="10" xfId="0" applyFont="1" applyFill="1" applyBorder="1" applyAlignment="1" applyProtection="1">
      <alignment horizontal="center" vertical="center" textRotation="180"/>
      <protection locked="0"/>
    </xf>
    <xf numFmtId="0" fontId="17" fillId="10" borderId="10" xfId="0" applyFont="1" applyFill="1" applyBorder="1" applyAlignment="1" applyProtection="1">
      <alignment horizontal="center" vertical="center" textRotation="180" wrapText="1"/>
      <protection locked="0"/>
    </xf>
    <xf numFmtId="0" fontId="31" fillId="5" borderId="6" xfId="0" applyFont="1" applyFill="1" applyBorder="1" applyAlignment="1" applyProtection="1">
      <alignment horizontal="center" vertical="center" textRotation="90"/>
      <protection locked="0"/>
    </xf>
    <xf numFmtId="0" fontId="27" fillId="0" borderId="11" xfId="0" applyFont="1" applyBorder="1" applyAlignment="1" applyProtection="1">
      <alignment horizontal="center" vertical="center" textRotation="90"/>
      <protection locked="0"/>
    </xf>
    <xf numFmtId="0" fontId="27" fillId="0" borderId="12" xfId="0" applyFont="1" applyBorder="1" applyAlignment="1" applyProtection="1">
      <alignment horizontal="center" vertical="center" textRotation="90"/>
      <protection locked="0"/>
    </xf>
    <xf numFmtId="0" fontId="23" fillId="7" borderId="17" xfId="0" applyFont="1" applyFill="1" applyBorder="1" applyAlignment="1" applyProtection="1">
      <alignment vertical="center" wrapText="1"/>
      <protection locked="0"/>
    </xf>
    <xf numFmtId="0" fontId="0" fillId="0" borderId="18" xfId="0" applyBorder="1"/>
    <xf numFmtId="0" fontId="0" fillId="0" borderId="13" xfId="0" applyBorder="1"/>
    <xf numFmtId="0" fontId="17" fillId="7" borderId="8" xfId="0" applyFont="1" applyFill="1" applyBorder="1" applyAlignment="1" applyProtection="1">
      <alignment horizontal="center" vertical="center" textRotation="180"/>
      <protection locked="0"/>
    </xf>
    <xf numFmtId="0" fontId="17" fillId="7" borderId="1" xfId="0" applyFont="1" applyFill="1" applyBorder="1" applyAlignment="1" applyProtection="1">
      <alignment horizontal="center" vertical="center" textRotation="180"/>
      <protection locked="0"/>
    </xf>
    <xf numFmtId="0" fontId="17" fillId="7" borderId="8" xfId="0" applyFont="1" applyFill="1" applyBorder="1" applyAlignment="1" applyProtection="1">
      <alignment horizontal="center" vertical="center" textRotation="180" wrapText="1"/>
      <protection locked="0"/>
    </xf>
    <xf numFmtId="0" fontId="17" fillId="7" borderId="1" xfId="0" applyFont="1" applyFill="1" applyBorder="1" applyAlignment="1" applyProtection="1">
      <alignment horizontal="center" vertical="center" textRotation="180" wrapText="1"/>
      <protection locked="0"/>
    </xf>
    <xf numFmtId="0" fontId="31" fillId="5" borderId="7" xfId="0" applyFont="1" applyFill="1" applyBorder="1" applyAlignment="1" applyProtection="1">
      <alignment horizontal="center" vertical="center" textRotation="90"/>
      <protection locked="0"/>
    </xf>
    <xf numFmtId="0" fontId="27" fillId="0" borderId="5" xfId="0" applyFont="1" applyBorder="1" applyAlignment="1" applyProtection="1">
      <alignment horizontal="center" vertical="center" textRotation="90"/>
      <protection locked="0"/>
    </xf>
    <xf numFmtId="0" fontId="27" fillId="0" borderId="8" xfId="0" applyFont="1" applyBorder="1" applyAlignment="1" applyProtection="1">
      <alignment horizontal="center" vertical="center" textRotation="180"/>
      <protection locked="0"/>
    </xf>
    <xf numFmtId="0" fontId="4" fillId="3" borderId="17" xfId="0" applyFont="1" applyFill="1" applyBorder="1" applyAlignment="1" applyProtection="1">
      <alignment horizontal="center" vertical="center" wrapText="1"/>
      <protection locked="0"/>
    </xf>
    <xf numFmtId="0" fontId="0" fillId="3" borderId="18" xfId="0" applyFill="1" applyBorder="1" applyAlignment="1">
      <alignment horizontal="center" wrapText="1"/>
    </xf>
    <xf numFmtId="0" fontId="0" fillId="3" borderId="13" xfId="0" applyFill="1" applyBorder="1" applyAlignment="1">
      <alignment horizontal="center" wrapText="1"/>
    </xf>
    <xf numFmtId="0" fontId="27" fillId="0" borderId="15" xfId="0" applyFont="1" applyBorder="1" applyAlignment="1" applyProtection="1">
      <alignment horizontal="center" vertical="center" textRotation="180"/>
      <protection locked="0"/>
    </xf>
    <xf numFmtId="0" fontId="15" fillId="5" borderId="9" xfId="0" applyFont="1" applyFill="1" applyBorder="1" applyAlignment="1" applyProtection="1">
      <alignment horizontal="center" vertical="center" textRotation="90"/>
      <protection locked="0"/>
    </xf>
    <xf numFmtId="0" fontId="27" fillId="0" borderId="0" xfId="0" applyFont="1" applyAlignment="1" applyProtection="1">
      <alignment horizontal="center" vertical="center" textRotation="90"/>
      <protection locked="0"/>
    </xf>
    <xf numFmtId="0" fontId="27" fillId="0" borderId="14" xfId="0" applyFont="1" applyBorder="1" applyAlignment="1" applyProtection="1">
      <alignment horizontal="center" vertical="center" textRotation="90"/>
      <protection locked="0"/>
    </xf>
    <xf numFmtId="0" fontId="26" fillId="0" borderId="7"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22" fillId="4" borderId="10" xfId="0" applyFont="1" applyFill="1" applyBorder="1" applyAlignment="1" applyProtection="1">
      <alignment horizontal="center" vertical="center"/>
      <protection locked="0"/>
    </xf>
    <xf numFmtId="0" fontId="0" fillId="4" borderId="1" xfId="0" applyFill="1" applyBorder="1" applyAlignment="1" applyProtection="1">
      <alignment horizontal="center" vertical="center"/>
      <protection locked="0"/>
    </xf>
    <xf numFmtId="0" fontId="27" fillId="0" borderId="19" xfId="0" applyFont="1" applyBorder="1" applyAlignment="1" applyProtection="1">
      <alignment horizontal="center" vertical="center" textRotation="90"/>
      <protection locked="0"/>
    </xf>
    <xf numFmtId="0" fontId="32" fillId="7" borderId="10" xfId="0" applyFont="1" applyFill="1" applyBorder="1" applyAlignment="1" applyProtection="1">
      <alignment horizontal="left" vertical="center" wrapText="1"/>
      <protection locked="0"/>
    </xf>
    <xf numFmtId="0" fontId="33" fillId="7" borderId="1" xfId="0" applyFont="1" applyFill="1" applyBorder="1" applyAlignment="1" applyProtection="1">
      <alignment horizontal="left" vertical="center" wrapText="1"/>
      <protection locked="0"/>
    </xf>
    <xf numFmtId="0" fontId="9" fillId="7" borderId="7" xfId="0" applyFont="1" applyFill="1" applyBorder="1" applyAlignment="1" applyProtection="1">
      <alignment horizontal="center" vertical="center"/>
      <protection locked="0"/>
    </xf>
    <xf numFmtId="0" fontId="9" fillId="7" borderId="5" xfId="0" applyFont="1" applyFill="1" applyBorder="1" applyAlignment="1" applyProtection="1">
      <alignment horizontal="center" vertical="center"/>
      <protection locked="0"/>
    </xf>
    <xf numFmtId="0" fontId="21" fillId="0" borderId="0" xfId="1" applyAlignment="1" applyProtection="1">
      <alignment horizontal="left" wrapText="1"/>
      <protection locked="0"/>
    </xf>
    <xf numFmtId="0" fontId="21" fillId="0" borderId="5" xfId="1" applyBorder="1" applyAlignment="1" applyProtection="1">
      <alignment horizontal="left" wrapText="1"/>
      <protection locked="0"/>
    </xf>
    <xf numFmtId="0" fontId="47" fillId="4" borderId="11" xfId="0" applyFont="1" applyFill="1" applyBorder="1" applyAlignment="1" applyProtection="1">
      <alignment vertical="center" wrapText="1"/>
      <protection locked="0"/>
    </xf>
    <xf numFmtId="0" fontId="0" fillId="0" borderId="5" xfId="0" applyBorder="1" applyAlignment="1">
      <alignment vertical="center" wrapText="1"/>
    </xf>
    <xf numFmtId="0" fontId="7" fillId="0" borderId="0" xfId="0" applyFont="1" applyAlignment="1" applyProtection="1">
      <alignment horizontal="left" vertical="center"/>
      <protection locked="0"/>
    </xf>
    <xf numFmtId="0" fontId="0" fillId="0" borderId="5" xfId="0" applyBorder="1" applyAlignment="1" applyProtection="1">
      <alignment vertical="center"/>
      <protection locked="0"/>
    </xf>
    <xf numFmtId="0" fontId="0" fillId="0" borderId="11" xfId="0" applyBorder="1" applyAlignment="1">
      <alignment vertical="center" wrapText="1"/>
    </xf>
    <xf numFmtId="0" fontId="11" fillId="0" borderId="0" xfId="0" applyFont="1" applyAlignment="1" applyProtection="1">
      <alignment vertical="center"/>
      <protection locked="0"/>
    </xf>
    <xf numFmtId="0" fontId="46" fillId="0" borderId="5" xfId="0" applyFont="1" applyBorder="1" applyAlignment="1">
      <alignment vertical="center" wrapText="1"/>
    </xf>
    <xf numFmtId="0" fontId="0" fillId="0" borderId="12" xfId="0" applyBorder="1" applyAlignment="1">
      <alignment vertical="center" wrapText="1"/>
    </xf>
    <xf numFmtId="0" fontId="0" fillId="0" borderId="3" xfId="0" applyBorder="1" applyAlignment="1">
      <alignment vertical="center" wrapText="1"/>
    </xf>
    <xf numFmtId="0" fontId="6" fillId="0" borderId="2" xfId="0" applyFont="1" applyBorder="1" applyAlignment="1" applyProtection="1">
      <alignment horizontal="left" vertical="top"/>
      <protection locked="0"/>
    </xf>
    <xf numFmtId="0" fontId="0" fillId="0" borderId="3" xfId="0" applyBorder="1" applyAlignment="1" applyProtection="1">
      <alignment vertical="top"/>
      <protection locked="0"/>
    </xf>
    <xf numFmtId="0" fontId="15" fillId="5" borderId="10" xfId="0" applyFont="1" applyFill="1" applyBorder="1" applyAlignment="1" applyProtection="1">
      <alignment horizontal="center" vertical="center" textRotation="180"/>
      <protection locked="0"/>
    </xf>
    <xf numFmtId="0" fontId="16" fillId="6" borderId="10" xfId="0" applyFont="1" applyFill="1" applyBorder="1" applyAlignment="1" applyProtection="1">
      <alignment horizontal="left" vertical="center" wrapText="1"/>
      <protection locked="0"/>
    </xf>
    <xf numFmtId="0" fontId="16" fillId="6" borderId="1" xfId="0" applyFont="1" applyFill="1" applyBorder="1" applyAlignment="1" applyProtection="1">
      <alignment horizontal="left" vertical="center" wrapText="1"/>
      <protection locked="0"/>
    </xf>
    <xf numFmtId="0" fontId="9" fillId="6" borderId="7" xfId="0" applyFont="1" applyFill="1" applyBorder="1" applyAlignment="1" applyProtection="1">
      <alignment horizontal="center" vertical="center"/>
      <protection locked="0"/>
    </xf>
    <xf numFmtId="0" fontId="9" fillId="6" borderId="5" xfId="0" applyFont="1" applyFill="1" applyBorder="1" applyAlignment="1" applyProtection="1">
      <alignment horizontal="center" vertical="center"/>
      <protection locked="0"/>
    </xf>
    <xf numFmtId="0" fontId="17" fillId="6" borderId="10" xfId="0" applyFont="1" applyFill="1" applyBorder="1" applyAlignment="1" applyProtection="1">
      <alignment horizontal="center" vertical="center" textRotation="180"/>
      <protection locked="0"/>
    </xf>
    <xf numFmtId="0" fontId="17" fillId="6" borderId="1" xfId="0" applyFont="1" applyFill="1" applyBorder="1" applyAlignment="1" applyProtection="1">
      <alignment horizontal="center" vertical="center" textRotation="180"/>
      <protection locked="0"/>
    </xf>
    <xf numFmtId="0" fontId="17" fillId="6" borderId="10" xfId="0" applyFont="1" applyFill="1" applyBorder="1" applyAlignment="1" applyProtection="1">
      <alignment horizontal="center" vertical="center" textRotation="180" wrapText="1"/>
      <protection locked="0"/>
    </xf>
    <xf numFmtId="0" fontId="17" fillId="6" borderId="1" xfId="0" applyFont="1" applyFill="1" applyBorder="1" applyAlignment="1" applyProtection="1">
      <alignment horizontal="center" vertical="center" textRotation="180" wrapText="1"/>
      <protection locked="0"/>
    </xf>
    <xf numFmtId="0" fontId="47" fillId="4" borderId="11" xfId="0" applyFont="1" applyFill="1" applyBorder="1" applyAlignment="1" applyProtection="1">
      <alignment horizontal="left" vertical="center" wrapText="1"/>
      <protection locked="0"/>
    </xf>
    <xf numFmtId="0" fontId="47" fillId="0" borderId="0" xfId="0" applyFont="1" applyAlignment="1" applyProtection="1">
      <alignment horizontal="left" vertical="center" wrapText="1"/>
      <protection locked="0"/>
    </xf>
    <xf numFmtId="0" fontId="47" fillId="0" borderId="5" xfId="0" applyFont="1" applyBorder="1" applyAlignment="1" applyProtection="1">
      <alignment horizontal="left" vertical="center" wrapText="1"/>
      <protection locked="0"/>
    </xf>
    <xf numFmtId="0" fontId="46" fillId="0" borderId="11" xfId="0" applyFont="1" applyBorder="1" applyAlignment="1">
      <alignment horizontal="left" vertical="center" wrapText="1"/>
    </xf>
    <xf numFmtId="0" fontId="46" fillId="0" borderId="0" xfId="0" applyFont="1" applyAlignment="1">
      <alignment horizontal="left" vertical="center" wrapText="1"/>
    </xf>
    <xf numFmtId="0" fontId="46" fillId="0" borderId="5" xfId="0" applyFont="1" applyBorder="1" applyAlignment="1">
      <alignment horizontal="left" vertical="center" wrapText="1"/>
    </xf>
    <xf numFmtId="0" fontId="47" fillId="4" borderId="12" xfId="0" applyFont="1" applyFill="1" applyBorder="1" applyAlignment="1" applyProtection="1">
      <alignment horizontal="left" vertical="center" wrapText="1"/>
      <protection locked="0"/>
    </xf>
    <xf numFmtId="0" fontId="46" fillId="0" borderId="2" xfId="0" applyFont="1" applyBorder="1" applyAlignment="1">
      <alignment horizontal="left" vertical="center" wrapText="1"/>
    </xf>
    <xf numFmtId="0" fontId="46" fillId="0" borderId="3" xfId="0" applyFont="1" applyBorder="1" applyAlignment="1">
      <alignment horizontal="left" vertical="center" wrapText="1"/>
    </xf>
    <xf numFmtId="0" fontId="5" fillId="0" borderId="0" xfId="0" applyFont="1" applyProtection="1">
      <protection locked="0"/>
    </xf>
    <xf numFmtId="0" fontId="0" fillId="0" borderId="0" xfId="0"/>
    <xf numFmtId="0" fontId="7" fillId="0" borderId="0" xfId="0" applyFont="1" applyAlignment="1" applyProtection="1">
      <alignment horizontal="left"/>
      <protection locked="0"/>
    </xf>
    <xf numFmtId="0" fontId="0" fillId="0" borderId="5" xfId="0" applyBorder="1" applyProtection="1">
      <protection locked="0"/>
    </xf>
    <xf numFmtId="0" fontId="47" fillId="4" borderId="6" xfId="0" applyFont="1" applyFill="1" applyBorder="1" applyAlignment="1" applyProtection="1">
      <alignment vertical="center" wrapText="1"/>
      <protection locked="0"/>
    </xf>
    <xf numFmtId="0" fontId="0" fillId="0" borderId="7" xfId="0" applyBorder="1" applyAlignment="1">
      <alignment vertical="center" wrapText="1"/>
    </xf>
    <xf numFmtId="0" fontId="56" fillId="0" borderId="0" xfId="0" applyFont="1" applyAlignment="1" applyProtection="1">
      <alignment horizontal="left" vertical="center" wrapText="1"/>
      <protection locked="0"/>
    </xf>
    <xf numFmtId="0" fontId="56" fillId="0" borderId="5" xfId="0" applyFont="1" applyBorder="1" applyAlignment="1" applyProtection="1">
      <alignment horizontal="left" vertical="center" wrapText="1"/>
      <protection locked="0"/>
    </xf>
    <xf numFmtId="0" fontId="6" fillId="0" borderId="2" xfId="0" applyFont="1" applyBorder="1" applyAlignment="1" applyProtection="1">
      <alignment horizontal="right"/>
      <protection locked="0"/>
    </xf>
    <xf numFmtId="0" fontId="0" fillId="0" borderId="2" xfId="0" applyBorder="1" applyAlignment="1" applyProtection="1">
      <alignment horizontal="right"/>
      <protection locked="0"/>
    </xf>
    <xf numFmtId="0" fontId="0" fillId="0" borderId="3" xfId="0" applyBorder="1" applyAlignment="1" applyProtection="1">
      <alignment horizontal="right"/>
      <protection locked="0"/>
    </xf>
    <xf numFmtId="0" fontId="47" fillId="4" borderId="6" xfId="0" applyFont="1" applyFill="1" applyBorder="1" applyAlignment="1" applyProtection="1">
      <alignment horizontal="left" vertical="center" wrapText="1"/>
      <protection locked="0"/>
    </xf>
    <xf numFmtId="0" fontId="46" fillId="0" borderId="9" xfId="0" applyFont="1" applyBorder="1" applyAlignment="1" applyProtection="1">
      <alignment horizontal="left" vertical="center" wrapText="1"/>
      <protection locked="0"/>
    </xf>
    <xf numFmtId="0" fontId="46" fillId="0" borderId="7" xfId="0" applyFont="1" applyBorder="1" applyAlignment="1" applyProtection="1">
      <alignment horizontal="left" vertical="center" wrapText="1"/>
      <protection locked="0"/>
    </xf>
    <xf numFmtId="0" fontId="46" fillId="0" borderId="11" xfId="0" applyFont="1" applyBorder="1" applyAlignment="1">
      <alignment wrapText="1"/>
    </xf>
    <xf numFmtId="0" fontId="46" fillId="0" borderId="0" xfId="0" applyFont="1" applyAlignment="1">
      <alignment wrapText="1"/>
    </xf>
    <xf numFmtId="0" fontId="46" fillId="0" borderId="5" xfId="0" applyFont="1" applyBorder="1" applyAlignment="1">
      <alignment wrapText="1"/>
    </xf>
    <xf numFmtId="0" fontId="8" fillId="5" borderId="10" xfId="0" applyFont="1" applyFill="1" applyBorder="1" applyProtection="1">
      <protection locked="0"/>
    </xf>
    <xf numFmtId="0" fontId="0" fillId="5" borderId="8" xfId="0" applyFill="1" applyBorder="1" applyProtection="1">
      <protection locked="0"/>
    </xf>
    <xf numFmtId="0" fontId="0" fillId="5" borderId="1" xfId="0" applyFill="1" applyBorder="1" applyProtection="1">
      <protection locked="0"/>
    </xf>
    <xf numFmtId="0" fontId="46" fillId="0" borderId="11" xfId="0" applyFont="1" applyBorder="1" applyAlignment="1">
      <alignment vertical="center" wrapText="1"/>
    </xf>
    <xf numFmtId="0" fontId="46" fillId="0" borderId="0" xfId="0" applyFont="1" applyAlignment="1">
      <alignment vertical="center" wrapText="1"/>
    </xf>
    <xf numFmtId="0" fontId="4" fillId="0" borderId="26" xfId="0" applyFont="1" applyBorder="1" applyAlignment="1" applyProtection="1">
      <alignment horizontal="left"/>
      <protection locked="0"/>
    </xf>
    <xf numFmtId="0" fontId="44" fillId="11" borderId="21" xfId="0" applyFont="1" applyFill="1" applyBorder="1" applyProtection="1">
      <protection locked="0"/>
    </xf>
    <xf numFmtId="0" fontId="44" fillId="11" borderId="23" xfId="0" applyFont="1" applyFill="1" applyBorder="1" applyProtection="1">
      <protection locked="0"/>
    </xf>
    <xf numFmtId="0" fontId="44" fillId="11" borderId="0" xfId="0" applyFont="1" applyFill="1" applyProtection="1">
      <protection locked="0"/>
    </xf>
    <xf numFmtId="0" fontId="32" fillId="4" borderId="10" xfId="0" applyFont="1" applyFill="1" applyBorder="1" applyAlignment="1" applyProtection="1">
      <alignment horizontal="center" vertical="center"/>
      <protection locked="0"/>
    </xf>
    <xf numFmtId="0" fontId="0" fillId="0" borderId="8" xfId="0" applyBorder="1" applyProtection="1">
      <protection locked="0"/>
    </xf>
    <xf numFmtId="0" fontId="0" fillId="0" borderId="1" xfId="0" applyBorder="1" applyProtection="1">
      <protection locked="0"/>
    </xf>
    <xf numFmtId="0" fontId="32" fillId="4" borderId="7" xfId="0" applyFont="1" applyFill="1" applyBorder="1" applyAlignment="1" applyProtection="1">
      <alignment horizontal="center" vertical="center"/>
      <protection locked="0"/>
    </xf>
    <xf numFmtId="0" fontId="38" fillId="0" borderId="9" xfId="0" applyFont="1" applyBorder="1" applyAlignment="1" applyProtection="1">
      <alignment vertical="top"/>
      <protection locked="0"/>
    </xf>
    <xf numFmtId="0" fontId="38" fillId="0" borderId="0" xfId="0" applyFont="1" applyAlignment="1" applyProtection="1">
      <alignment vertical="top"/>
      <protection locked="0"/>
    </xf>
    <xf numFmtId="0" fontId="0" fillId="0" borderId="11" xfId="0" applyBorder="1" applyAlignment="1" applyProtection="1">
      <alignment vertical="center"/>
      <protection locked="0"/>
    </xf>
    <xf numFmtId="0" fontId="0" fillId="0" borderId="0" xfId="0" applyAlignment="1" applyProtection="1">
      <alignment vertical="center"/>
      <protection locked="0"/>
    </xf>
    <xf numFmtId="0" fontId="55" fillId="0" borderId="0" xfId="0" applyFont="1" applyAlignment="1" applyProtection="1">
      <alignment vertical="center"/>
      <protection locked="0"/>
    </xf>
    <xf numFmtId="0" fontId="58" fillId="0" borderId="9" xfId="0" applyFont="1" applyBorder="1" applyAlignment="1">
      <alignment horizontal="left"/>
    </xf>
    <xf numFmtId="0" fontId="32" fillId="3" borderId="10" xfId="0" applyFont="1" applyFill="1" applyBorder="1" applyAlignment="1" applyProtection="1">
      <alignment horizontal="center" vertical="center"/>
      <protection locked="0"/>
    </xf>
    <xf numFmtId="0" fontId="0" fillId="3" borderId="8" xfId="0" applyFill="1" applyBorder="1" applyProtection="1">
      <protection locked="0"/>
    </xf>
    <xf numFmtId="0" fontId="27" fillId="0" borderId="1" xfId="0" applyFont="1" applyBorder="1" applyAlignment="1" applyProtection="1">
      <alignment horizontal="center" vertical="center" textRotation="180"/>
      <protection locked="0"/>
    </xf>
    <xf numFmtId="0" fontId="0" fillId="0" borderId="1" xfId="0"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vertical="top"/>
      <protection locked="0"/>
    </xf>
    <xf numFmtId="0" fontId="31" fillId="5" borderId="9" xfId="0" applyFont="1" applyFill="1" applyBorder="1" applyAlignment="1" applyProtection="1">
      <alignment horizontal="center" vertical="center" textRotation="90"/>
      <protection locked="0"/>
    </xf>
    <xf numFmtId="0" fontId="32" fillId="4" borderId="33" xfId="0" applyFont="1" applyFill="1" applyBorder="1" applyAlignment="1" applyProtection="1">
      <alignment horizontal="center" vertical="center"/>
      <protection locked="0"/>
    </xf>
    <xf numFmtId="0" fontId="0" fillId="0" borderId="34" xfId="0" applyBorder="1" applyProtection="1">
      <protection locked="0"/>
    </xf>
    <xf numFmtId="0" fontId="0" fillId="0" borderId="35" xfId="0" applyBorder="1" applyProtection="1">
      <protection locked="0"/>
    </xf>
    <xf numFmtId="0" fontId="0" fillId="0" borderId="11" xfId="0" applyBorder="1" applyProtection="1">
      <protection locked="0"/>
    </xf>
    <xf numFmtId="0" fontId="36" fillId="0" borderId="5" xfId="0" applyFont="1" applyBorder="1" applyAlignment="1" applyProtection="1">
      <alignment textRotation="90"/>
      <protection locked="0"/>
    </xf>
    <xf numFmtId="0" fontId="36" fillId="0" borderId="3" xfId="0" applyFont="1" applyBorder="1" applyAlignment="1" applyProtection="1">
      <alignment textRotation="90"/>
      <protection locked="0"/>
    </xf>
    <xf numFmtId="0" fontId="36" fillId="0" borderId="8" xfId="0" applyFont="1" applyBorder="1" applyAlignment="1" applyProtection="1">
      <alignment textRotation="180"/>
      <protection locked="0"/>
    </xf>
    <xf numFmtId="0" fontId="36" fillId="0" borderId="1" xfId="0" applyFont="1" applyBorder="1" applyAlignment="1" applyProtection="1">
      <alignment textRotation="180"/>
      <protection locked="0"/>
    </xf>
    <xf numFmtId="0" fontId="17" fillId="4" borderId="17" xfId="0" applyFont="1" applyFill="1" applyBorder="1" applyAlignment="1" applyProtection="1">
      <alignment horizontal="center"/>
      <protection locked="0"/>
    </xf>
    <xf numFmtId="0" fontId="8" fillId="3" borderId="13" xfId="0" applyFont="1" applyFill="1" applyBorder="1" applyAlignment="1" applyProtection="1">
      <alignment vertical="center"/>
      <protection locked="0"/>
    </xf>
    <xf numFmtId="0" fontId="60" fillId="0" borderId="0" xfId="0" applyFont="1" applyAlignment="1">
      <alignment horizontal="center"/>
    </xf>
    <xf numFmtId="0" fontId="4" fillId="0" borderId="0" xfId="0" applyFont="1" applyAlignment="1">
      <alignment horizontal="center" wrapText="1"/>
    </xf>
    <xf numFmtId="0" fontId="61" fillId="0" borderId="0" xfId="0" applyFont="1" applyAlignment="1">
      <alignment horizontal="left"/>
    </xf>
    <xf numFmtId="0" fontId="62" fillId="0" borderId="0" xfId="0" applyFont="1" applyAlignment="1">
      <alignment horizontal="left"/>
    </xf>
    <xf numFmtId="0" fontId="4" fillId="0" borderId="0" xfId="0" applyFont="1" applyAlignment="1">
      <alignment horizontal="left"/>
    </xf>
    <xf numFmtId="0" fontId="4" fillId="12" borderId="0" xfId="0" applyFont="1" applyFill="1" applyAlignment="1">
      <alignment horizontal="left"/>
    </xf>
    <xf numFmtId="0" fontId="62" fillId="12" borderId="0" xfId="0" applyFont="1" applyFill="1" applyAlignment="1">
      <alignment horizontal="left"/>
    </xf>
    <xf numFmtId="0" fontId="0" fillId="0" borderId="0" xfId="0" applyAlignment="1">
      <alignment horizontal="left"/>
    </xf>
    <xf numFmtId="0" fontId="42" fillId="0" borderId="0" xfId="0" applyFont="1" applyAlignment="1">
      <alignment wrapText="1"/>
    </xf>
    <xf numFmtId="0" fontId="0" fillId="0" borderId="0" xfId="0" applyAlignment="1">
      <alignment wrapText="1"/>
    </xf>
  </cellXfs>
  <cellStyles count="5">
    <cellStyle name="Followed Hyperlink" xfId="2" builtinId="9" hidden="1"/>
    <cellStyle name="Followed Hyperlink" xfId="3" builtinId="9" hidden="1"/>
    <cellStyle name="Followed Hyperlink" xfId="4" builtinId="9" hidden="1"/>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osé Iván  Román" id="{ACE21746-DC17-4410-915F-BDA3C06AB879}" userId="" providerId=""/>
  <person displayName="Huff, Liam" id="{D5D011D9-EEFF-924B-9AD4-200BC3DD6ABA}" userId="Huff, Liam" providerId="None"/>
  <person displayName="Roman, Jose Ivan" id="{DD6D6A97-C3BB-44A4-BADA-DBE221ED4C14}" userId="Roman, Jose Ivan" providerId="None"/>
  <person displayName="Rakouskas, Russell" id="{9A72A9D9-146F-4EA9-AA35-473E221E885D}" userId="Rakouskas, Russell" providerId="None"/>
  <person displayName="Pons, Taylor" id="{DB5C6A0A-0B63-4B67-BC64-3F4C87F7492B}" userId="S::t.pons@northeastern.edu::9c10e09d-077f-4bcf-9507-cb5fa84f4bb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 personId="{DD6D6A97-C3BB-44A4-BADA-DBE221ED4C14}" id="{3847F761-3F2F-DB4A-A8E5-81A89B25D63D}">
    <text xml:space="preserve">Full Time Status = 8 credits
(If only taking one course,  students should submit a Petition to Reduce Load via "MyNortheastern&gt;Registrar Forms" AFTER registering)
</text>
  </threadedComment>
  <threadedComment ref="E9" personId="{DD6D6A97-C3BB-44A4-BADA-DBE221ED4C14}" id="{12ED3E1B-7DA9-A140-9F54-85723F440620}">
    <text xml:space="preserve">Full Time Status = 8 credits
(If only taking one course,  students should submit a Petition to Reduce Load via "MyNortheastern&gt;Registrar Forms" AFTER registering)
</text>
  </threadedComment>
  <threadedComment ref="I15" personId="{9A72A9D9-146F-4EA9-AA35-473E221E885D}" id="{78BAFB6D-0EEA-1A4F-B0F8-08D65C01E41C}">
    <text xml:space="preserve">Offered FL - SP
</text>
  </threadedComment>
  <threadedComment ref="I16" personId="{9A72A9D9-146F-4EA9-AA35-473E221E885D}" id="{7246A599-BE76-1E41-B2A5-09A0A3B504E5}">
    <text>Prerequisite:
MATH1341 
Offered: FL - SP - SM1 - SM2</text>
  </threadedComment>
  <threadedComment ref="I18" personId="{9A72A9D9-146F-4EA9-AA35-473E221E885D}" id="{C27424F5-8888-9A4D-AFB0-B098C5ABDB1F}">
    <text xml:space="preserve">Terms Offered: FL - SP - SM1 - SM2
Pre-Req: MATH1342
</text>
  </threadedComment>
  <threadedComment ref="D19" personId="{9A72A9D9-146F-4EA9-AA35-473E221E885D}" id="{D50344F1-D522-024E-A5B3-73CE9DCE513E}">
    <text xml:space="preserve">Full Time Status = 8 credits
(If only taking one course,  students should submit a Petition to Reduce Load via "MyNortheastern&gt;Registrar Forms" AFTER registering)
</text>
  </threadedComment>
  <threadedComment ref="I20" dT="2020-03-18T14:21:56.24" personId="{ACE21746-DC17-4410-915F-BDA3C06AB879}" id="{A562DE55-95F1-8E4D-A177-D71335C2FFFE}">
    <text xml:space="preserve">Terms Offered: FL - SP - SM1 - SM2
Co-Reqs: PHYS1151
</text>
  </threadedComment>
  <threadedComment ref="D21" personId="{9A72A9D9-146F-4EA9-AA35-473E221E885D}" id="{F519851B-98FD-DA4B-BF23-26560D79A50B}">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I21" dT="2020-03-18T14:22:20.94" personId="{ACE21746-DC17-4410-915F-BDA3C06AB879}" id="{05720685-CC7C-C846-A2B9-BFAE1B5B7504}">
    <text xml:space="preserve">Terms Offered: FL - SP - SM1 - SM2
Co-Reqs: PHYS1151
</text>
  </threadedComment>
  <threadedComment ref="I23" dT="2020-03-18T14:32:46.22" personId="{ACE21746-DC17-4410-915F-BDA3C06AB879}" id="{42F11EAF-09FF-5442-B311-D90C1F5A32B8}">
    <text xml:space="preserve">Terms Offered: FL - SP - SM1
Co-Req: PHYS1155
</text>
  </threadedComment>
  <threadedComment ref="I24" dT="2020-03-18T14:32:58.92" personId="{ACE21746-DC17-4410-915F-BDA3C06AB879}" id="{102CBD70-9362-E94E-811D-A1A4BE9B1C19}">
    <text xml:space="preserve">Terms Offered: FL - SP - SM1
Co-Req: PHYS1155
</text>
  </threadedComment>
  <threadedComment ref="D29" personId="{9A72A9D9-146F-4EA9-AA35-473E221E885D}" id="{FE9642F7-67AF-2D46-A0A2-6114232AD610}">
    <text xml:space="preserve">Full Time Status = 8 credits
(If only taking one course,  students should submit a Petition to Reduce Load via "MyNortheastern&gt;Registrar Forms" AFTER registering)
</text>
  </threadedComment>
  <threadedComment ref="B31" personId="{9A72A9D9-146F-4EA9-AA35-473E221E885D}" id="{B9655983-2277-1A4D-A983-ADAE70BC3F0E}">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B32" personId="{9A72A9D9-146F-4EA9-AA35-473E221E885D}" id="{CA9DF2A9-73D2-124E-9DFE-B07ECDC0F7A1}">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I33" personId="{9A72A9D9-146F-4EA9-AA35-473E221E885D}" id="{E6C6831E-D695-1D47-BF46-049CE5328ABE}">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B35" personId="{9A72A9D9-146F-4EA9-AA35-473E221E885D}" id="{544A8D75-32A7-F243-99E8-B38B77A20797}">
    <text xml:space="preserve">Offered FL - SP
Co-Req: CS1800
</text>
  </threadedComment>
  <threadedComment ref="D39" personId="{9A72A9D9-146F-4EA9-AA35-473E221E885D}" id="{ADB9D4C4-FC50-E64D-9482-AA7DBBF32507}">
    <text xml:space="preserve">Full Time Status = 8 credits
(If only taking one course,  students should submit a Petition to Reduce Load via "MyNortheastern&gt;Registrar Forms" AFTER registering)
</text>
  </threadedComment>
  <threadedComment ref="B41" personId="{9A72A9D9-146F-4EA9-AA35-473E221E885D}" id="{1A7896BB-DF97-6048-99CB-8E9CAF131270}">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D41" personId="{D5D011D9-EEFF-924B-9AD4-200BC3DD6ABA}" id="{D1CB336B-EB42-B841-A1D9-A0898EEA37C6}">
    <text>Pre-requisites
EECE2322/23 or EECE2540 or EECE2560 or EECE2412/13 or EECE2520 or EEC2530/31 AND Senior Standing
Offered SM 1 / SM2
Students in the summer 1 section will continue capstone 2 in the spring of the following year and students in the summer 2 section will continue capstone 2 in the fall of the same year.</text>
  </threadedComment>
  <threadedComment ref="I41" personId="{9A72A9D9-146F-4EA9-AA35-473E221E885D}" id="{02E629E7-7CB6-684B-AB2A-0D7AAAD4A39D}">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B42" personId="{9A72A9D9-146F-4EA9-AA35-473E221E885D}" id="{ABC9F888-1708-EA47-878B-4B2BF3EFB23A}">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I42" personId="{9A72A9D9-146F-4EA9-AA35-473E221E885D}" id="{F4EA0534-0765-DA4F-AAB4-0C35E42ACAEF}">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D44" personId="{9A72A9D9-146F-4EA9-AA35-473E221E885D}" id="{1FFC02FE-9E7F-9B41-A824-2D524083EAD6}">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E44" personId="{9A72A9D9-146F-4EA9-AA35-473E221E885D}" id="{1E325A69-F24B-D14A-8DF7-8AEA5266C55C}">
    <text>Offered FL - SP</text>
  </threadedComment>
  <threadedComment ref="I52" personId="{9A72A9D9-146F-4EA9-AA35-473E221E885D}" id="{0B8743E6-B6D7-C646-A78B-87F296E1AD3D}">
    <text>Offered FL - SP</text>
  </threadedComment>
  <threadedComment ref="I53" personId="{9A72A9D9-146F-4EA9-AA35-473E221E885D}" id="{0E20CE6C-2988-2A4D-A39E-024C7EB17727}">
    <text>Offered: FL - SP</text>
  </threadedComment>
  <threadedComment ref="I60" personId="{9A72A9D9-146F-4EA9-AA35-473E221E885D}" id="{31686828-08F0-4D43-9EE0-889EC003AABD}">
    <text>Offered FL - SP</text>
  </threadedComment>
  <threadedComment ref="I65" personId="{9A72A9D9-146F-4EA9-AA35-473E221E885D}" id="{AC687A4F-6C97-714C-A110-4A52A77715B0}">
    <text>Offered FL - SP - SM1</text>
  </threadedComment>
  <threadedComment ref="I72" personId="{9A72A9D9-146F-4EA9-AA35-473E221E885D}" id="{976B397D-E787-184C-880A-26EC527A8EAB}">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I73" personId="{9A72A9D9-146F-4EA9-AA35-473E221E885D}" id="{6634583D-1C42-DA46-AE80-E1594CF38698}">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D99" personId="{9A72A9D9-146F-4EA9-AA35-473E221E885D}" id="{75BFCA01-A411-BD44-83DD-86FDF45E444D}">
    <text xml:space="preserve">Full Time Status = 8 credits
(If only taking one course,  students should submit a Petition to Reduce Load via "MyNortheastern&gt;Registrar Forms" AFTER registering)
</text>
  </threadedComment>
  <threadedComment ref="C103" personId="{9A72A9D9-146F-4EA9-AA35-473E221E885D}" id="{5B7B98FE-0886-CA4D-A08B-319CE170BA69}">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C105" personId="{9A72A9D9-146F-4EA9-AA35-473E221E885D}" id="{7993979E-468C-9045-B80C-30F608020304}">
    <text>Offered FL - SP</text>
  </threadedComment>
</ThreadedComments>
</file>

<file path=xl/threadedComments/threadedComment2.xml><?xml version="1.0" encoding="utf-8"?>
<ThreadedComments xmlns="http://schemas.microsoft.com/office/spreadsheetml/2018/threadedcomments" xmlns:x="http://schemas.openxmlformats.org/spreadsheetml/2006/main">
  <threadedComment ref="I15" personId="{9A72A9D9-146F-4EA9-AA35-473E221E885D}" id="{376DBE37-9207-4DC8-8AEE-6F721D42B579}">
    <text xml:space="preserve">Offered FL - SP
</text>
  </threadedComment>
  <threadedComment ref="I16" personId="{9A72A9D9-146F-4EA9-AA35-473E221E885D}" id="{D1D7A33D-6AD3-4862-839B-6B2F1F169C6E}">
    <text>Prerequisite:
MATH1341 
Offered: FL - SP - SM1 - SM2</text>
  </threadedComment>
  <threadedComment ref="D17" personId="{DD6D6A97-C3BB-44A4-BADA-DBE221ED4C14}" id="{FFD27901-1C0D-014D-8D6C-3513693560A2}">
    <text xml:space="preserve">Full Time Status = 8 credits
(If only taking one course,  students should submit a Petition to Reduce Load via "MyNortheastern&gt;Registrar Forms" AFTER registering)
</text>
  </threadedComment>
  <threadedComment ref="E17" personId="{DD6D6A97-C3BB-44A4-BADA-DBE221ED4C14}" id="{C4C973A0-47BF-674B-95DC-9EAF1039F4C9}">
    <text xml:space="preserve">Full Time Status = 8 credits
(If only taking one course,  students should submit a Petition to Reduce Load via "MyNortheastern&gt;Registrar Forms" AFTER registering)
</text>
  </threadedComment>
  <threadedComment ref="I20" dT="2020-03-18T14:21:56.24" personId="{ACE21746-DC17-4410-915F-BDA3C06AB879}" id="{6914524C-0BBB-47D8-A024-6030540BF8AB}">
    <text xml:space="preserve">Terms Offered: FL - SP - SM1 - SM2
Co-Reqs: PHYS1151
</text>
  </threadedComment>
  <threadedComment ref="I21" dT="2020-03-18T14:22:20.94" personId="{ACE21746-DC17-4410-915F-BDA3C06AB879}" id="{0A592AB4-B45C-4CEE-ABCC-C88B132AD537}">
    <text xml:space="preserve">Terms Offered: FL - SP - SM1 - SM2
Co-Reqs: PHYS1151
</text>
  </threadedComment>
  <threadedComment ref="D27" personId="{9A72A9D9-146F-4EA9-AA35-473E221E885D}" id="{30658068-743B-F54C-93BB-548995D975A8}">
    <text xml:space="preserve">Full Time Status = 8 credits
(If only taking one course,  students should submit a Petition to Reduce Load via "MyNortheastern&gt;Registrar Forms" AFTER registering)
</text>
  </threadedComment>
  <threadedComment ref="D29" personId="{9A72A9D9-146F-4EA9-AA35-473E221E885D}" id="{B1A0CEA1-75A8-E149-B7E9-26D539EA5462}">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D37" personId="{9A72A9D9-146F-4EA9-AA35-473E221E885D}" id="{2186E25A-EA9A-F94B-AE78-F97EAD7711CA}">
    <text xml:space="preserve">Full Time Status = 8 credits
(If only taking one course,  students should submit a Petition to Reduce Load via "MyNortheastern&gt;Registrar Forms" AFTER registering)
</text>
  </threadedComment>
  <threadedComment ref="B39" personId="{9A72A9D9-146F-4EA9-AA35-473E221E885D}" id="{3151AB8A-E66E-E546-83D0-58B3CAC52938}">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C39" personId="{9A72A9D9-146F-4EA9-AA35-473E221E885D}" id="{91CDF471-D6FF-CC4D-B6A1-1DEE8C51519A}">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D39" personId="{D5D011D9-EEFF-924B-9AD4-200BC3DD6ABA}" id="{BCCD667D-1799-214B-8BA9-39DD3710CED0}">
    <text>Pre-requisites
EECE2322/23 or EECE2540 or EECE2560 or EECE2412/13 or EECE2520 or EEC2530/31 AND Senior Standing
Offered SM 1 / SM2
Students in the summer 1 section will continue capstone 2 in the spring of the following year and students in the summer 2 section will continue capstone 2 in the fall of the same year.</text>
  </threadedComment>
  <threadedComment ref="B40" personId="{9A72A9D9-146F-4EA9-AA35-473E221E885D}" id="{05236608-DB42-4E45-ABCF-CB5605A88DC0}">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C40" personId="{9A72A9D9-146F-4EA9-AA35-473E221E885D}" id="{45E26616-FA4F-3249-A9C5-3638A31D62EF}">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B43" personId="{9A72A9D9-146F-4EA9-AA35-473E221E885D}" id="{309308CA-CE33-B54A-8CED-D046083D5787}">
    <text xml:space="preserve">Offered FL - SP
Co-Req: CS1800
</text>
  </threadedComment>
  <threadedComment ref="C44" personId="{9A72A9D9-146F-4EA9-AA35-473E221E885D}" id="{35DB8914-62CD-5E45-884E-6A91E6FCFD06}">
    <text>Offered FL - SP</text>
  </threadedComment>
  <threadedComment ref="D47" personId="{9A72A9D9-146F-4EA9-AA35-473E221E885D}" id="{B0E57830-9139-6B4A-94B8-3BBFD6424B06}">
    <text xml:space="preserve">Full Time Status = 8 credits
(If only taking one course,  students should submit a Petition to Reduce Load via "MyNortheastern&gt;Registrar Forms" AFTER registering)
</text>
  </threadedComment>
  <threadedComment ref="B50" personId="{9A72A9D9-146F-4EA9-AA35-473E221E885D}" id="{56DA5F25-D94A-4547-82E6-02129501CFF8}">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C52" personId="{9A72A9D9-146F-4EA9-AA35-473E221E885D}" id="{D28E3CC2-C77F-794A-BD1F-2F7598D4E9DA}">
    <text>Offered FL - SP</text>
  </threadedComment>
  <threadedComment ref="I60" personId="{9A72A9D9-146F-4EA9-AA35-473E221E885D}" id="{F033BA04-9D20-424E-8251-BE0CB90F9285}">
    <text>Offered FL - SP</text>
  </threadedComment>
  <threadedComment ref="I72" personId="{9A72A9D9-146F-4EA9-AA35-473E221E885D}" id="{796961C6-D6E8-44C1-B16D-F34EBBA8D010}">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I73" personId="{9A72A9D9-146F-4EA9-AA35-473E221E885D}" id="{9F812E9E-B2F5-4CD9-9478-659AB6161DE2}">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s>
</file>

<file path=xl/threadedComments/threadedComment3.xml><?xml version="1.0" encoding="utf-8"?>
<ThreadedComments xmlns="http://schemas.microsoft.com/office/spreadsheetml/2018/threadedcomments" xmlns:x="http://schemas.openxmlformats.org/spreadsheetml/2006/main">
  <threadedComment ref="D9" personId="{DD6D6A97-C3BB-44A4-BADA-DBE221ED4C14}" id="{AD8353CC-416F-48D6-86B7-C1026E514B1A}">
    <text xml:space="preserve">Full Time Status = 8 credits
(If only taking one course,  students should submit a Petition to Reduce Load via "MyNortheastern&gt;Registrar Forms" AFTER registering)
</text>
  </threadedComment>
  <threadedComment ref="E9" personId="{DD6D6A97-C3BB-44A4-BADA-DBE221ED4C14}" id="{4A2DEC71-5AB1-4425-8494-8B296C67CB20}">
    <text xml:space="preserve">Full Time Status = 8 credits
(If only taking one course,  students should submit a Petition to Reduce Load via "MyNortheastern&gt;Registrar Forms" AFTER registering)
</text>
  </threadedComment>
  <threadedComment ref="B11" personId="{9A72A9D9-146F-4EA9-AA35-473E221E885D}" id="{94BE5998-7BC1-46FD-A4DE-230D5A594448}">
    <text xml:space="preserve">Offered FL - SP
</text>
  </threadedComment>
  <threadedComment ref="C11" personId="{9A72A9D9-146F-4EA9-AA35-473E221E885D}" id="{0562B869-2034-4886-8324-2DF9132DC5DC}">
    <text>Prerequisite:
MATH1341 
Offered: FL - SP - SM1 - SM2</text>
  </threadedComment>
  <threadedComment ref="D11" personId="{9A72A9D9-146F-4EA9-AA35-473E221E885D}" id="{DF0F9B18-4BBD-4110-8DB4-CDE05B1CB081}">
    <text xml:space="preserve">Terms Offered: FL - SP - SM1 - SM2
Pre-Req: MATH1342
</text>
  </threadedComment>
  <threadedComment ref="C13" dT="2020-03-18T14:21:56.24" personId="{ACE21746-DC17-4410-915F-BDA3C06AB879}" id="{78CC90D4-742F-4792-AF1D-27C73529F95C}">
    <text xml:space="preserve">Terms Offered: FL - SP - SM1 - SM2
Co-Reqs: PHYS1151
</text>
  </threadedComment>
  <threadedComment ref="B14" personId="{9A72A9D9-146F-4EA9-AA35-473E221E885D}" id="{555877C4-0C82-46B9-AD55-8ED4E057E5AA}">
    <text>Offered FL - SP</text>
  </threadedComment>
  <threadedComment ref="C14" dT="2020-03-18T14:22:20.94" personId="{ACE21746-DC17-4410-915F-BDA3C06AB879}" id="{92E7D3F9-09B1-4630-9B46-5D7FB8A761D3}">
    <text xml:space="preserve">Terms Offered: FL - SP - SM1 - SM2
Co-Reqs: PHYS1151
</text>
  </threadedComment>
  <threadedComment ref="B15" personId="{9A72A9D9-146F-4EA9-AA35-473E221E885D}" id="{0F6D7130-88F6-49F5-B55E-8EC7CD9ED489}">
    <text>Offered FL - SP</text>
  </threadedComment>
  <threadedComment ref="C15" personId="{9A72A9D9-146F-4EA9-AA35-473E221E885D}" id="{21769980-685B-46B2-A7E6-86B23B92B0E6}">
    <text>Offered: FL - SP</text>
  </threadedComment>
  <threadedComment ref="B16" personId="{9A72A9D9-146F-4EA9-AA35-473E221E885D}" id="{FAC9FB51-D6CB-469B-A679-89DB8476574F}">
    <text>Offered FL - SP - SM1</text>
  </threadedComment>
  <threadedComment ref="C16" personId="{9A72A9D9-146F-4EA9-AA35-473E221E885D}" id="{C8A8476A-C35C-49B8-AEE9-D26E3E61616B}">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D19" personId="{9A72A9D9-146F-4EA9-AA35-473E221E885D}" id="{201ED5A3-0F18-43F6-BA2F-CCA3E8DEE90A}">
    <text xml:space="preserve">Full Time Status = 8 credits
(If only taking one course,  students should submit a Petition to Reduce Load via "MyNortheastern&gt;Registrar Forms" AFTER registering)
</text>
  </threadedComment>
  <threadedComment ref="C22" personId="{9A72A9D9-146F-4EA9-AA35-473E221E885D}" id="{F7AFE81A-CEA0-4301-A994-8D3C60A8FCB9}">
    <text xml:space="preserve">Offered FL - SP
Co-Req: CS1800
</text>
  </threadedComment>
  <threadedComment ref="B23" dT="2020-03-18T14:32:46.22" personId="{ACE21746-DC17-4410-915F-BDA3C06AB879}" id="{720EA1A7-086F-4C60-AFB6-F42BDA4CCF7A}">
    <text xml:space="preserve">Terms Offered: FL - SP - SM1
Co-Req: PHYS1155
</text>
  </threadedComment>
  <threadedComment ref="B24" dT="2020-03-18T14:32:58.92" personId="{ACE21746-DC17-4410-915F-BDA3C06AB879}" id="{8C2BBFAB-0EF6-47E0-A083-9144635C9499}">
    <text xml:space="preserve">Terms Offered: FL - SP - SM1
Co-Req: PHYS1155
</text>
  </threadedComment>
  <threadedComment ref="C24" personId="{9A72A9D9-146F-4EA9-AA35-473E221E885D}" id="{5503DEDB-68DB-4B58-813B-CB4608B61DAD}">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C25" personId="{9A72A9D9-146F-4EA9-AA35-473E221E885D}" id="{13F42AD9-7360-46A2-8C7B-B5B6E2BBDFB9}">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D29" personId="{9A72A9D9-146F-4EA9-AA35-473E221E885D}" id="{D46508B5-259B-4ECC-89B3-8C798CF89709}">
    <text xml:space="preserve">Full Time Status = 8 credits
(If only taking one course,  students should submit a Petition to Reduce Load via "MyNortheastern&gt;Registrar Forms" AFTER registering)
</text>
  </threadedComment>
  <threadedComment ref="C31" personId="{9A72A9D9-146F-4EA9-AA35-473E221E885D}" id="{57D0DB39-BDCC-49C3-A919-59D94EB3C2A8}">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C32" personId="{9A72A9D9-146F-4EA9-AA35-473E221E885D}" id="{FEE7F5BD-68F3-4878-86E1-0A228630D7CE}">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C33" personId="{9A72A9D9-146F-4EA9-AA35-473E221E885D}" id="{D6161FB2-1B6A-41CC-A028-ABEA76D7B5EA}">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C34" personId="{9A72A9D9-146F-4EA9-AA35-473E221E885D}" id="{B50097FB-401E-445C-BC00-6C71CBF410C4}">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C35" personId="{9A72A9D9-146F-4EA9-AA35-473E221E885D}" id="{AFE68D6C-71AA-4A18-9337-8BE3AB36D7FC}">
    <text>Offered FL - SP</text>
  </threadedComment>
  <threadedComment ref="D39" personId="{9A72A9D9-146F-4EA9-AA35-473E221E885D}" id="{5B71F489-B1ED-4307-B04E-B42364FD7B62}">
    <text xml:space="preserve">Full Time Status = 8 credits
(If only taking one course,  students should submit a Petition to Reduce Load via "MyNortheastern&gt;Registrar Forms" AFTER registering)
</text>
  </threadedComment>
  <threadedComment ref="B42" personId="{9A72A9D9-146F-4EA9-AA35-473E221E885D}" id="{BAA2AF49-9EB5-4995-938A-DDC2A9C78AE0}">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B43" personId="{9A72A9D9-146F-4EA9-AA35-473E221E885D}" id="{3D915DA6-0908-4106-9278-DD075036519E}">
    <text xml:space="preserve">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Sophomore Standing
EECE2560 Fundamentals of Algorithms
Prereqs: EECE2160
All offered: FL - SP
</text>
  </threadedComment>
  <threadedComment ref="C44" personId="{9A72A9D9-146F-4EA9-AA35-473E221E885D}" id="{10DDB165-D063-4933-8252-50536E022F9C}">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s>
</file>

<file path=xl/threadedComments/threadedComment4.xml><?xml version="1.0" encoding="utf-8"?>
<ThreadedComments xmlns="http://schemas.microsoft.com/office/spreadsheetml/2018/threadedcomments" xmlns:x="http://schemas.openxmlformats.org/spreadsheetml/2006/main">
  <threadedComment ref="D9" personId="{DD6D6A97-C3BB-44A4-BADA-DBE221ED4C14}" id="{AD8353CC-416F-48D5-86B7-C1026E514B1A}">
    <text xml:space="preserve">Full Time Status = 8 credits
(If only taking one course,  students should submit a Petition to Reduce Load via "MyNortheastern&gt;Registrar Forms" AFTER registering)
</text>
  </threadedComment>
  <threadedComment ref="E9" personId="{DD6D6A97-C3BB-44A4-BADA-DBE221ED4C14}" id="{4A2DEC71-5AB1-4424-8494-8B296C67CB20}">
    <text xml:space="preserve">Full Time Status = 8 credits
(If only taking one course,  students should submit a Petition to Reduce Load via "MyNortheastern&gt;Registrar Forms" AFTER registering)
</text>
  </threadedComment>
  <threadedComment ref="B11" personId="{9A72A9D9-146F-4EA9-AA35-473E221E885D}" id="{94BE5998-7BC1-46FC-A4DE-230D5A594448}">
    <text xml:space="preserve">Offered FL - SP
</text>
  </threadedComment>
  <threadedComment ref="C11" personId="{9A72A9D9-146F-4EA9-AA35-473E221E885D}" id="{0562B869-2034-4885-8324-2DF9132DC5DC}">
    <text>Prerequisite:
MATH1341 
Offered: FL - SP - SM1 - SM2</text>
  </threadedComment>
  <threadedComment ref="C13" dT="2020-03-18T14:21:56.24" personId="{ACE21746-DC17-4410-915F-BDA3C06AB879}" id="{78CC90D4-742F-4791-AF1D-27C73529F95C}">
    <text xml:space="preserve">Terms Offered: FL - SP - SM1 - SM2
Co-Reqs: PHYS1151
</text>
  </threadedComment>
  <threadedComment ref="B14" personId="{9A72A9D9-146F-4EA9-AA35-473E221E885D}" id="{555877C4-0C82-46B8-AD55-8ED4E057E5AA}">
    <text>Offered FL - SP</text>
  </threadedComment>
  <threadedComment ref="C14" dT="2020-03-18T14:22:20.94" personId="{ACE21746-DC17-4410-915F-BDA3C06AB879}" id="{92E7D3F9-09B1-462F-9B46-5D7FB8A761D3}">
    <text xml:space="preserve">Terms Offered: FL - SP - SM1 - SM2
Co-Reqs: PHYS1151
</text>
  </threadedComment>
  <threadedComment ref="B15" personId="{9A72A9D9-146F-4EA9-AA35-473E221E885D}" id="{0F6D7130-88F6-49F4-B55E-8EC7CD9ED489}">
    <text>Offered FL - SP</text>
  </threadedComment>
  <threadedComment ref="C15" personId="{9A72A9D9-146F-4EA9-AA35-473E221E885D}" id="{21769980-685B-46B1-A7E6-86B23B92B0E6}">
    <text>Offered: FL - SP</text>
  </threadedComment>
  <threadedComment ref="B16" personId="{9A72A9D9-146F-4EA9-AA35-473E221E885D}" id="{FAC9FB51-D6CB-469A-A679-89DB8476574F}">
    <text>Offered FL - SP - SM1 - SM2</text>
  </threadedComment>
  <threadedComment ref="C16" personId="{9A72A9D9-146F-4EA9-AA35-473E221E885D}" id="{C8A8476A-C35C-49B7-AEE9-D26E3E61616B}">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D19" personId="{9A72A9D9-146F-4EA9-AA35-473E221E885D}" id="{201ED5A3-0F18-43F5-BA2F-CCA3E8DEE90A}">
    <text xml:space="preserve">Full Time Status = 8 credits
(If only taking one course,  students should submit a Petition to Reduce Load via "MyNortheastern&gt;Registrar Forms" AFTER registering)
</text>
  </threadedComment>
  <threadedComment ref="B21" personId="{9A72A9D9-146F-4EA9-AA35-473E221E885D}" id="{DF0F9B18-4BBD-410F-8DB4-CDE05B1CB081}">
    <text xml:space="preserve">Terms Offered: FL - SP - SM1 - SM2
Pre-Req: MATH1342
</text>
  </threadedComment>
  <threadedComment ref="C22" personId="{9A72A9D9-146F-4EA9-AA35-473E221E885D}" id="{F7AFE81A-CEA0-4300-A994-8D3C60A8FCB9}">
    <text xml:space="preserve">Offered FL - SP
Co-Req: CS1800
</text>
  </threadedComment>
  <threadedComment ref="B23" dT="2020-03-18T14:32:46.22" personId="{ACE21746-DC17-4410-915F-BDA3C06AB879}" id="{720EA1A7-086F-4C5F-AFB6-F42BDA4CCF7A}">
    <text xml:space="preserve">Terms Offered: FL - SP - SM1
Co-Req: PHYS1155
</text>
  </threadedComment>
  <threadedComment ref="B24" dT="2020-03-18T14:32:58.92" personId="{ACE21746-DC17-4410-915F-BDA3C06AB879}" id="{8C2BBFAB-0EF6-47DF-A083-9144635C9499}">
    <text xml:space="preserve">Terms Offered: FL - SP - SM1
Co-Req: PHYS1155
</text>
  </threadedComment>
  <threadedComment ref="C26" personId="{9A72A9D9-146F-4EA9-AA35-473E221E885D}" id="{5503DEDB-68DB-4B57-813B-CB4608B61DAD}">
    <text>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ext>
  </threadedComment>
  <threadedComment ref="D29" personId="{9A72A9D9-146F-4EA9-AA35-473E221E885D}" id="{D46508B5-259B-4ECB-89B3-8C798CF89709}">
    <text xml:space="preserve">Full Time Status = 8 credits
(If only taking one course,  students should submit a Petition to Reduce Load via "MyNortheastern&gt;Registrar Forms" AFTER registering)
</text>
  </threadedComment>
  <threadedComment ref="C31" personId="{9A72A9D9-146F-4EA9-AA35-473E221E885D}" id="{57D0DB39-BDCC-49C2-A919-59D94EB3C2A8}">
    <text>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ext>
  </threadedComment>
  <threadedComment ref="C32" personId="{9A72A9D9-146F-4EA9-AA35-473E221E885D}" id="{FEE7F5BD-68F3-4877-86E1-0A228630D7CE}">
    <text>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ext>
  </threadedComment>
  <threadedComment ref="C33" personId="{9A72A9D9-146F-4EA9-AA35-473E221E885D}" id="{D6161FB2-1B6A-41CB-A028-ABEA76D7B5EA}">
    <text>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ext>
  </threadedComment>
  <threadedComment ref="D33" personId="{9A72A9D9-146F-4EA9-AA35-473E221E885D}" id="{13F42AD9-7360-46A1-8C7B-B5B6E2BBDFB9}">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C34" personId="{9A72A9D9-146F-4EA9-AA35-473E221E885D}" id="{3D915DA6-0908-4105-9278-DD075036519E}">
    <text>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ext>
  </threadedComment>
  <threadedComment ref="D39" personId="{9A72A9D9-146F-4EA9-AA35-473E221E885D}" id="{5B71F489-B1ED-4306-B04E-B42364FD7B62}">
    <text xml:space="preserve">Full Time Status = 8 credits
(If only taking one course,  students should submit a Petition to Reduce Load via "MyNortheastern&gt;Registrar Forms" AFTER registering)
</text>
  </threadedComment>
  <threadedComment ref="C41" personId="{9A72A9D9-146F-4EA9-AA35-473E221E885D}" id="{BAA2AF49-9EB5-4994-938A-DDC2A9C78AE0}">
    <text>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ext>
  </threadedComment>
  <threadedComment ref="C45" personId="{9A72A9D9-146F-4EA9-AA35-473E221E885D}" id="{ADCC8CE6-0C29-4F0C-8C23-01F87936BBDA}">
    <text>Offered FL - SP</text>
  </threadedComment>
  <threadedComment ref="D49" personId="{9A72A9D9-146F-4EA9-AA35-473E221E885D}" id="{897B4DCF-4ED1-415C-A51F-7858E8F3A9A8}">
    <text xml:space="preserve">Full Time Status = 8 credits
(If only taking one course,  students should submit a Petition to Reduce Load via "MyNortheastern&gt;Registrar Forms" AFTER registering)
</text>
  </threadedComment>
  <threadedComment ref="E49" personId="{9A72A9D9-146F-4EA9-AA35-473E221E885D}" id="{981CA717-533D-49EC-A71A-EBFD89E73D5C}">
    <text xml:space="preserve">Full Time Status = 8 credits
(If only taking one course,  students should submit a Petition to Reduce Load via "MyNortheastern&gt;Registrar Forms" AFTER registering)
SM2 Engineering courses offered:
</text>
  </threadedComment>
  <threadedComment ref="C53" personId="{9A72A9D9-146F-4EA9-AA35-473E221E885D}" id="{3FAE9908-C9D1-4D85-9A17-00115D50F348}">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 ref="C54" personId="{9A72A9D9-146F-4EA9-AA35-473E221E885D}" id="{10DDB165-D063-4932-8252-50536E022F9C}">
    <text xml:space="preserve">Semester offerings vary. Check course schedule. General Electives may be 1- to  4-credit courses as long as the required amount of General Elective credits is met in the Degree Audit. General Electives that count towards the requirement must be courses that do not appear in the General Elective Exclusions list (click tab below to view the worksheet).
</text>
  </threadedComment>
</ThreadedComments>
</file>

<file path=xl/threadedComments/threadedComment5.xml><?xml version="1.0" encoding="utf-8"?>
<ThreadedComments xmlns="http://schemas.microsoft.com/office/spreadsheetml/2018/threadedcomments" xmlns:x="http://schemas.openxmlformats.org/spreadsheetml/2006/main">
  <threadedComment ref="B42" dT="2023-07-11T17:47:28.68" personId="{DB5C6A0A-0B63-4B67-BC64-3F4C87F7492B}" id="{A585FD99-62EA-493B-B680-4EA63737B403}">
    <text>Options:
EECE2412/13 Fundamentals of Electronics + lab
Prereq: EECE2150
EECE2520 Fundamentals of Linear Systems
Prereq: EECE2150
EECE2530/31 Fundamentals of Electromagnetics + lab
Prereq: EECE2150
EECE2322/23 Fundamentals Digital Design + lab
Prereqs: EECE2160
EECE2540 Fundamentals of Networks
Prereqs: EECE2140
EECE2560 Fundamentals of Algorithms
Prereqs: EECE2160
All offered: FL - SP</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catalog.northeastern.edu/" TargetMode="Externa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catalog.northeastern.edu/" TargetMode="External"/><Relationship Id="rId1" Type="http://schemas.openxmlformats.org/officeDocument/2006/relationships/hyperlink" Target="https://catalog.northeastern.edu/"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bin"/><Relationship Id="rId1" Type="http://schemas.openxmlformats.org/officeDocument/2006/relationships/hyperlink" Target="https://catalog.northeastern.edu/" TargetMode="Externa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bin"/><Relationship Id="rId1" Type="http://schemas.openxmlformats.org/officeDocument/2006/relationships/hyperlink" Target="https://catalog.northeastern.edu/" TargetMode="Externa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3.bin"/><Relationship Id="rId1" Type="http://schemas.openxmlformats.org/officeDocument/2006/relationships/hyperlink" Target="https://catalog.northeastern.edu/" TargetMode="External"/><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3981-EA1C-B449-905B-DC3C6AB65C01}">
  <sheetPr>
    <pageSetUpPr fitToPage="1"/>
  </sheetPr>
  <dimension ref="A1:N115"/>
  <sheetViews>
    <sheetView showGridLines="0" tabSelected="1" topLeftCell="A22" zoomScale="110" zoomScaleNormal="100" zoomScalePageLayoutView="84" workbookViewId="0">
      <selection activeCell="B31" sqref="B31:B35"/>
    </sheetView>
  </sheetViews>
  <sheetFormatPr baseColWidth="10" defaultColWidth="9.1640625" defaultRowHeight="14" x14ac:dyDescent="0.2"/>
  <cols>
    <col min="1" max="1" width="3.6640625" style="2" customWidth="1"/>
    <col min="2" max="2" width="34.5" style="1" customWidth="1"/>
    <col min="3" max="3" width="35.1640625" style="1" customWidth="1"/>
    <col min="4" max="4" width="36.33203125" style="1" customWidth="1"/>
    <col min="5" max="5" width="35.33203125" style="1" customWidth="1"/>
    <col min="6" max="6" width="21.33203125" style="1" customWidth="1"/>
    <col min="7" max="7" width="1.5" style="5" customWidth="1"/>
    <col min="8" max="8" width="13" style="3" customWidth="1"/>
    <col min="9" max="9" width="33.5" style="1" customWidth="1"/>
    <col min="10" max="10" width="4.33203125" style="4" customWidth="1"/>
    <col min="11" max="11" width="4.6640625" style="1" customWidth="1"/>
    <col min="12" max="12" width="4.83203125" style="1" customWidth="1"/>
    <col min="13" max="13" width="4.5" style="2" customWidth="1"/>
    <col min="14" max="15" width="4.5" style="1" customWidth="1"/>
    <col min="16" max="16384" width="9.1640625" style="1"/>
  </cols>
  <sheetData>
    <row r="1" spans="1:14" s="7" customFormat="1" ht="47.5" customHeight="1" x14ac:dyDescent="0.45">
      <c r="A1" s="10"/>
      <c r="B1" s="457" t="s">
        <v>0</v>
      </c>
      <c r="C1" s="365"/>
      <c r="D1" s="458"/>
      <c r="E1" s="178" t="s">
        <v>1</v>
      </c>
      <c r="F1" s="11"/>
      <c r="G1" s="12"/>
      <c r="H1" s="465" t="s">
        <v>2</v>
      </c>
      <c r="I1" s="466"/>
      <c r="J1" s="466"/>
      <c r="K1" s="466"/>
      <c r="L1" s="466"/>
      <c r="M1" s="467"/>
      <c r="N1" s="13"/>
    </row>
    <row r="2" spans="1:14" s="7" customFormat="1" ht="25.5" customHeight="1" x14ac:dyDescent="0.25">
      <c r="B2" s="459" t="s">
        <v>3</v>
      </c>
      <c r="C2" s="460"/>
      <c r="D2" s="461" t="s">
        <v>4</v>
      </c>
      <c r="E2" s="462"/>
      <c r="F2" s="14"/>
      <c r="G2" s="12"/>
      <c r="H2" s="468" t="s">
        <v>5</v>
      </c>
      <c r="I2" s="469"/>
      <c r="J2" s="469"/>
      <c r="K2" s="469"/>
      <c r="L2" s="469"/>
      <c r="M2" s="470"/>
      <c r="N2" s="474"/>
    </row>
    <row r="3" spans="1:14" s="7" customFormat="1" ht="55.5" customHeight="1" x14ac:dyDescent="0.25">
      <c r="A3" s="9"/>
      <c r="B3" s="463" t="s">
        <v>6</v>
      </c>
      <c r="C3" s="464"/>
      <c r="D3" s="432"/>
      <c r="E3" s="429"/>
      <c r="F3" s="14"/>
      <c r="G3" s="12"/>
      <c r="H3" s="471"/>
      <c r="I3" s="472"/>
      <c r="J3" s="472"/>
      <c r="K3" s="472"/>
      <c r="L3" s="472"/>
      <c r="M3" s="473"/>
      <c r="N3" s="475"/>
    </row>
    <row r="4" spans="1:14" s="7" customFormat="1" ht="29.25" customHeight="1" x14ac:dyDescent="0.25">
      <c r="A4" s="258"/>
      <c r="B4" s="426" t="s">
        <v>7</v>
      </c>
      <c r="C4" s="427"/>
      <c r="D4" s="428" t="s">
        <v>8</v>
      </c>
      <c r="E4" s="429"/>
      <c r="F4" s="14"/>
      <c r="G4" s="12"/>
      <c r="H4" s="448" t="s">
        <v>9</v>
      </c>
      <c r="I4" s="449"/>
      <c r="J4" s="449"/>
      <c r="K4" s="449"/>
      <c r="L4" s="449"/>
      <c r="M4" s="450"/>
      <c r="N4" s="475"/>
    </row>
    <row r="5" spans="1:14" s="7" customFormat="1" ht="19" customHeight="1" x14ac:dyDescent="0.2">
      <c r="A5" s="9"/>
      <c r="B5" s="430" t="s">
        <v>247</v>
      </c>
      <c r="C5" s="431"/>
      <c r="D5" s="428" t="s">
        <v>11</v>
      </c>
      <c r="E5" s="429"/>
      <c r="F5" s="15"/>
      <c r="G5" s="16"/>
      <c r="H5" s="477"/>
      <c r="I5" s="478"/>
      <c r="J5" s="478"/>
      <c r="K5" s="478"/>
      <c r="L5" s="478"/>
      <c r="M5" s="434"/>
      <c r="N5" s="475"/>
    </row>
    <row r="6" spans="1:14" s="17" customFormat="1" ht="20.25" customHeight="1" x14ac:dyDescent="0.2">
      <c r="B6" s="430" t="s">
        <v>12</v>
      </c>
      <c r="C6" s="431"/>
      <c r="D6" s="432"/>
      <c r="E6" s="429"/>
      <c r="F6" s="18"/>
      <c r="G6" s="19"/>
      <c r="H6" s="448" t="s">
        <v>13</v>
      </c>
      <c r="I6" s="449"/>
      <c r="J6" s="449"/>
      <c r="K6" s="449"/>
      <c r="L6" s="449"/>
      <c r="M6" s="450"/>
      <c r="N6" s="475"/>
    </row>
    <row r="7" spans="1:14" s="9" customFormat="1" ht="19" customHeight="1" x14ac:dyDescent="0.2">
      <c r="B7" s="433" t="s">
        <v>14</v>
      </c>
      <c r="C7" s="431"/>
      <c r="D7" s="428" t="s">
        <v>15</v>
      </c>
      <c r="E7" s="434"/>
      <c r="F7" s="20"/>
      <c r="G7" s="21"/>
      <c r="H7" s="451"/>
      <c r="I7" s="452"/>
      <c r="J7" s="452"/>
      <c r="K7" s="452"/>
      <c r="L7" s="452"/>
      <c r="M7" s="453"/>
      <c r="N7" s="475"/>
    </row>
    <row r="8" spans="1:14" s="25" customFormat="1" ht="23.5" customHeight="1" x14ac:dyDescent="0.2">
      <c r="A8" s="22"/>
      <c r="B8" s="437" t="s">
        <v>16</v>
      </c>
      <c r="C8" s="438"/>
      <c r="D8" s="435"/>
      <c r="E8" s="436"/>
      <c r="F8" s="23"/>
      <c r="G8" s="24"/>
      <c r="H8" s="454" t="s">
        <v>17</v>
      </c>
      <c r="I8" s="455"/>
      <c r="J8" s="455"/>
      <c r="K8" s="455"/>
      <c r="L8" s="455"/>
      <c r="M8" s="456"/>
      <c r="N8" s="476"/>
    </row>
    <row r="9" spans="1:14" s="7" customFormat="1" ht="26.25" customHeight="1" x14ac:dyDescent="0.25">
      <c r="A9" s="26"/>
      <c r="B9" s="27" t="s">
        <v>18</v>
      </c>
      <c r="C9" s="28" t="s">
        <v>19</v>
      </c>
      <c r="D9" s="28" t="s">
        <v>20</v>
      </c>
      <c r="E9" s="28" t="s">
        <v>21</v>
      </c>
      <c r="F9" s="29"/>
      <c r="G9" s="30"/>
      <c r="H9" s="440" t="s">
        <v>22</v>
      </c>
      <c r="I9" s="442"/>
      <c r="J9" s="444" t="s">
        <v>23</v>
      </c>
      <c r="K9" s="446" t="s">
        <v>24</v>
      </c>
      <c r="L9" s="446" t="s">
        <v>25</v>
      </c>
      <c r="M9" s="446" t="s">
        <v>26</v>
      </c>
      <c r="N9" s="31"/>
    </row>
    <row r="10" spans="1:14" s="7" customFormat="1" ht="24" customHeight="1" x14ac:dyDescent="0.2">
      <c r="A10" s="32"/>
      <c r="B10" s="33" t="s">
        <v>27</v>
      </c>
      <c r="C10" s="33" t="s">
        <v>27</v>
      </c>
      <c r="D10" s="33" t="s">
        <v>27</v>
      </c>
      <c r="E10" s="34" t="s">
        <v>27</v>
      </c>
      <c r="F10" s="35"/>
      <c r="G10" s="36"/>
      <c r="H10" s="441"/>
      <c r="I10" s="443"/>
      <c r="J10" s="445"/>
      <c r="K10" s="447"/>
      <c r="L10" s="447"/>
      <c r="M10" s="447"/>
      <c r="N10" s="37"/>
    </row>
    <row r="11" spans="1:14" s="9" customFormat="1" ht="18.75" customHeight="1" x14ac:dyDescent="0.2">
      <c r="A11" s="413" t="s">
        <v>28</v>
      </c>
      <c r="F11" s="439" t="s">
        <v>28</v>
      </c>
      <c r="G11" s="41"/>
      <c r="H11" s="42" t="s">
        <v>32</v>
      </c>
      <c r="I11" s="44" t="s">
        <v>33</v>
      </c>
      <c r="J11" s="416"/>
      <c r="K11" s="359"/>
      <c r="L11" s="419">
        <v>4</v>
      </c>
      <c r="M11" s="262"/>
      <c r="N11" s="43"/>
    </row>
    <row r="12" spans="1:14" s="9" customFormat="1" ht="20.25" customHeight="1" x14ac:dyDescent="0.2">
      <c r="A12" s="414"/>
      <c r="F12" s="408"/>
      <c r="G12" s="41"/>
      <c r="H12" s="47" t="s">
        <v>35</v>
      </c>
      <c r="I12" s="50" t="s">
        <v>36</v>
      </c>
      <c r="J12" s="417"/>
      <c r="K12" s="418"/>
      <c r="L12" s="420"/>
      <c r="M12" s="48"/>
      <c r="N12" s="49"/>
    </row>
    <row r="13" spans="1:14" s="9" customFormat="1" ht="19.5" customHeight="1" x14ac:dyDescent="0.2">
      <c r="A13" s="414"/>
      <c r="F13" s="408"/>
      <c r="G13" s="41"/>
      <c r="H13" s="52" t="s">
        <v>38</v>
      </c>
      <c r="I13" s="192"/>
      <c r="J13" s="53"/>
      <c r="K13" s="53"/>
      <c r="L13" s="54">
        <v>4</v>
      </c>
      <c r="M13" s="55"/>
      <c r="N13" s="56"/>
    </row>
    <row r="14" spans="1:14" s="9" customFormat="1" ht="20.25" customHeight="1" x14ac:dyDescent="0.2">
      <c r="A14" s="414"/>
      <c r="F14" s="408"/>
      <c r="G14" s="41"/>
      <c r="H14" s="52" t="s">
        <v>41</v>
      </c>
      <c r="I14" s="192"/>
      <c r="J14" s="53"/>
      <c r="K14" s="53"/>
      <c r="L14" s="54">
        <v>1</v>
      </c>
      <c r="M14" s="55"/>
      <c r="N14" s="56"/>
    </row>
    <row r="15" spans="1:14" s="9" customFormat="1" ht="20.5" customHeight="1" x14ac:dyDescent="0.2">
      <c r="A15" s="414"/>
      <c r="D15" s="310"/>
      <c r="F15" s="408"/>
      <c r="G15" s="41"/>
      <c r="H15" s="52" t="s">
        <v>44</v>
      </c>
      <c r="I15" s="298" t="s">
        <v>29</v>
      </c>
      <c r="J15" s="53"/>
      <c r="K15" s="53"/>
      <c r="L15" s="54">
        <v>4</v>
      </c>
      <c r="M15" s="55"/>
      <c r="N15" s="56"/>
    </row>
    <row r="16" spans="1:14" s="9" customFormat="1" ht="18.75" customHeight="1" x14ac:dyDescent="0.2">
      <c r="A16" s="407"/>
      <c r="D16" s="310"/>
      <c r="F16" s="408"/>
      <c r="G16" s="41"/>
      <c r="H16" s="52" t="s">
        <v>47</v>
      </c>
      <c r="I16" s="39" t="s">
        <v>30</v>
      </c>
      <c r="J16" s="53"/>
      <c r="K16" s="53"/>
      <c r="L16" s="54">
        <v>4</v>
      </c>
      <c r="M16" s="55"/>
      <c r="N16" s="56"/>
    </row>
    <row r="17" spans="1:14" s="9" customFormat="1" ht="18.75" customHeight="1" x14ac:dyDescent="0.2">
      <c r="A17" s="407"/>
      <c r="B17" s="310"/>
      <c r="C17" s="310"/>
      <c r="D17" s="310"/>
      <c r="F17" s="408"/>
      <c r="G17" s="41"/>
      <c r="H17" s="52" t="s">
        <v>48</v>
      </c>
      <c r="I17" s="39" t="s">
        <v>54</v>
      </c>
      <c r="J17" s="53"/>
      <c r="K17" s="61"/>
      <c r="L17" s="260">
        <v>4</v>
      </c>
      <c r="M17" s="262"/>
      <c r="N17" s="56"/>
    </row>
    <row r="18" spans="1:14" s="7" customFormat="1" ht="21.75" customHeight="1" x14ac:dyDescent="0.2">
      <c r="A18" s="415"/>
      <c r="B18" s="304"/>
      <c r="C18" s="313"/>
      <c r="D18" s="304"/>
      <c r="F18" s="412"/>
      <c r="G18" s="41"/>
      <c r="H18" s="52" t="s">
        <v>49</v>
      </c>
      <c r="I18" s="38" t="s">
        <v>31</v>
      </c>
      <c r="J18" s="65"/>
      <c r="K18" s="65"/>
      <c r="L18" s="54">
        <v>4</v>
      </c>
      <c r="M18" s="55"/>
      <c r="N18" s="56"/>
    </row>
    <row r="19" spans="1:14" s="73" customFormat="1" ht="18.75" customHeight="1" x14ac:dyDescent="0.25">
      <c r="A19" s="71"/>
      <c r="B19" s="27" t="s">
        <v>50</v>
      </c>
      <c r="C19" s="28" t="s">
        <v>19</v>
      </c>
      <c r="D19" s="28" t="s">
        <v>20</v>
      </c>
      <c r="E19" s="28" t="s">
        <v>21</v>
      </c>
      <c r="F19" s="29"/>
      <c r="G19" s="30"/>
      <c r="H19" s="52" t="s">
        <v>51</v>
      </c>
      <c r="I19" s="45" t="s">
        <v>34</v>
      </c>
      <c r="J19" s="53"/>
      <c r="K19" s="53"/>
      <c r="L19" s="54">
        <v>3</v>
      </c>
      <c r="M19" s="55"/>
      <c r="N19" s="56"/>
    </row>
    <row r="20" spans="1:14" s="73" customFormat="1" ht="21.75" customHeight="1" x14ac:dyDescent="0.2">
      <c r="A20" s="74"/>
      <c r="B20" s="33" t="s">
        <v>27</v>
      </c>
      <c r="C20" s="33" t="s">
        <v>27</v>
      </c>
      <c r="D20" s="34" t="s">
        <v>27</v>
      </c>
      <c r="E20" s="34" t="s">
        <v>27</v>
      </c>
      <c r="F20" s="35"/>
      <c r="G20" s="36"/>
      <c r="H20" s="52" t="s">
        <v>52</v>
      </c>
      <c r="I20" s="45" t="s">
        <v>37</v>
      </c>
      <c r="J20" s="53"/>
      <c r="K20" s="53"/>
      <c r="L20" s="54">
        <v>1</v>
      </c>
      <c r="M20" s="55"/>
      <c r="N20" s="56"/>
    </row>
    <row r="21" spans="1:14" s="73" customFormat="1" ht="19.5" customHeight="1" x14ac:dyDescent="0.2">
      <c r="A21" s="406" t="s">
        <v>53</v>
      </c>
      <c r="D21" s="63"/>
      <c r="F21" s="377" t="s">
        <v>53</v>
      </c>
      <c r="G21" s="75"/>
      <c r="H21" s="52" t="s">
        <v>56</v>
      </c>
      <c r="I21" s="58" t="s">
        <v>40</v>
      </c>
      <c r="J21" s="53"/>
      <c r="K21" s="53"/>
      <c r="L21" s="54">
        <v>1</v>
      </c>
      <c r="M21" s="55"/>
      <c r="N21" s="49"/>
    </row>
    <row r="22" spans="1:14" s="73" customFormat="1" ht="21" customHeight="1" x14ac:dyDescent="0.2">
      <c r="A22" s="414"/>
      <c r="D22" s="268"/>
      <c r="F22" s="408"/>
      <c r="G22" s="41"/>
      <c r="H22" s="52" t="s">
        <v>58</v>
      </c>
      <c r="I22" s="299" t="s">
        <v>57</v>
      </c>
      <c r="J22" s="191"/>
      <c r="K22" s="180"/>
      <c r="L22" s="54">
        <v>3</v>
      </c>
      <c r="M22" s="55"/>
      <c r="N22" s="82"/>
    </row>
    <row r="23" spans="1:14" s="73" customFormat="1" ht="32.25" customHeight="1" x14ac:dyDescent="0.2">
      <c r="A23" s="414"/>
      <c r="D23" s="125"/>
      <c r="F23" s="408"/>
      <c r="G23" s="41"/>
      <c r="H23" s="52" t="s">
        <v>60</v>
      </c>
      <c r="I23" s="299" t="s">
        <v>59</v>
      </c>
      <c r="J23" s="179"/>
      <c r="K23" s="179"/>
      <c r="L23" s="54">
        <v>1</v>
      </c>
      <c r="M23" s="55"/>
      <c r="N23" s="82"/>
    </row>
    <row r="24" spans="1:14" s="73" customFormat="1" ht="23.25" customHeight="1" x14ac:dyDescent="0.2">
      <c r="A24" s="414"/>
      <c r="D24" s="125"/>
      <c r="F24" s="408"/>
      <c r="G24" s="85"/>
      <c r="H24" s="52" t="s">
        <v>62</v>
      </c>
      <c r="I24" s="300" t="s">
        <v>61</v>
      </c>
      <c r="J24" s="179"/>
      <c r="K24" s="164"/>
      <c r="L24" s="54">
        <v>1</v>
      </c>
      <c r="M24" s="181"/>
      <c r="N24" s="82"/>
    </row>
    <row r="25" spans="1:14" s="73" customFormat="1" ht="40.5" customHeight="1" x14ac:dyDescent="0.2">
      <c r="A25" s="414"/>
      <c r="D25" s="125"/>
      <c r="F25" s="408"/>
      <c r="G25" s="85"/>
      <c r="H25" s="77"/>
      <c r="I25" s="84"/>
      <c r="J25" s="79"/>
      <c r="K25" s="80"/>
      <c r="L25" s="77"/>
      <c r="M25" s="81"/>
      <c r="N25" s="82"/>
    </row>
    <row r="26" spans="1:14" s="73" customFormat="1" ht="32.25" customHeight="1" x14ac:dyDescent="0.2">
      <c r="A26" s="414"/>
      <c r="C26" s="70"/>
      <c r="D26" s="128"/>
      <c r="F26" s="408"/>
      <c r="G26" s="41"/>
      <c r="H26" s="77"/>
      <c r="I26" s="84"/>
      <c r="J26" s="79"/>
      <c r="K26" s="80"/>
      <c r="L26" s="77"/>
      <c r="M26" s="81"/>
      <c r="N26" s="86"/>
    </row>
    <row r="27" spans="1:14" s="7" customFormat="1" ht="19" customHeight="1" x14ac:dyDescent="0.2">
      <c r="A27" s="414"/>
      <c r="C27" s="83"/>
      <c r="E27" s="200"/>
      <c r="F27" s="408"/>
      <c r="G27" s="41"/>
      <c r="H27" s="422" t="s">
        <v>66</v>
      </c>
      <c r="I27" s="424"/>
      <c r="J27" s="402" t="s">
        <v>23</v>
      </c>
      <c r="K27" s="404" t="s">
        <v>24</v>
      </c>
      <c r="L27" s="404" t="s">
        <v>25</v>
      </c>
      <c r="M27" s="404" t="s">
        <v>26</v>
      </c>
      <c r="N27" s="87"/>
    </row>
    <row r="28" spans="1:14" s="73" customFormat="1" ht="18" customHeight="1" x14ac:dyDescent="0.2">
      <c r="A28" s="421"/>
      <c r="C28" s="70"/>
      <c r="E28" s="263"/>
      <c r="F28" s="412"/>
      <c r="G28" s="41"/>
      <c r="H28" s="423"/>
      <c r="I28" s="425"/>
      <c r="J28" s="403"/>
      <c r="K28" s="405"/>
      <c r="L28" s="405"/>
      <c r="M28" s="405"/>
      <c r="N28" s="89"/>
    </row>
    <row r="29" spans="1:14" s="73" customFormat="1" ht="17.25" customHeight="1" x14ac:dyDescent="0.25">
      <c r="A29" s="90"/>
      <c r="B29" s="27" t="s">
        <v>50</v>
      </c>
      <c r="C29" s="28" t="s">
        <v>19</v>
      </c>
      <c r="D29" s="28" t="s">
        <v>20</v>
      </c>
      <c r="E29" s="28" t="s">
        <v>21</v>
      </c>
      <c r="F29" s="29"/>
      <c r="G29" s="30"/>
      <c r="H29" s="274" t="s">
        <v>67</v>
      </c>
      <c r="I29" s="309" t="s">
        <v>63</v>
      </c>
      <c r="J29" s="272"/>
      <c r="K29" s="273"/>
      <c r="L29" s="183"/>
      <c r="M29" s="183">
        <v>4</v>
      </c>
      <c r="N29" s="87"/>
    </row>
    <row r="30" spans="1:14" s="73" customFormat="1" ht="20.25" customHeight="1" x14ac:dyDescent="0.2">
      <c r="A30" s="32"/>
      <c r="B30" s="33" t="s">
        <v>27</v>
      </c>
      <c r="C30" s="33" t="s">
        <v>27</v>
      </c>
      <c r="D30" s="33" t="s">
        <v>27</v>
      </c>
      <c r="E30" s="92" t="s">
        <v>68</v>
      </c>
      <c r="F30" s="35"/>
      <c r="G30" s="36"/>
      <c r="H30" s="91" t="s">
        <v>69</v>
      </c>
      <c r="I30" s="301" t="s">
        <v>259</v>
      </c>
      <c r="J30" s="182"/>
      <c r="K30" s="182"/>
      <c r="L30" s="183"/>
      <c r="M30" s="183">
        <v>5</v>
      </c>
      <c r="N30" s="76"/>
    </row>
    <row r="31" spans="1:14" s="73" customFormat="1" ht="18" customHeight="1" x14ac:dyDescent="0.2">
      <c r="A31" s="406" t="s">
        <v>70</v>
      </c>
      <c r="B31" s="93"/>
      <c r="C31" s="483" t="s">
        <v>55</v>
      </c>
      <c r="D31" s="486" t="s">
        <v>55</v>
      </c>
      <c r="F31" s="377" t="s">
        <v>70</v>
      </c>
      <c r="G31" s="95"/>
      <c r="H31" s="93" t="s">
        <v>74</v>
      </c>
      <c r="I31" s="184" t="s">
        <v>258</v>
      </c>
      <c r="J31" s="94"/>
      <c r="K31" s="94"/>
      <c r="L31" s="55"/>
      <c r="M31" s="55">
        <v>4</v>
      </c>
      <c r="N31" s="82"/>
    </row>
    <row r="32" spans="1:14" s="73" customFormat="1" ht="18" customHeight="1" x14ac:dyDescent="0.2">
      <c r="A32" s="407"/>
      <c r="B32" s="184"/>
      <c r="C32" s="484"/>
      <c r="D32" s="460"/>
      <c r="F32" s="408"/>
      <c r="G32" s="96"/>
      <c r="H32" s="409" t="s">
        <v>78</v>
      </c>
      <c r="I32" s="410"/>
      <c r="J32" s="410"/>
      <c r="K32" s="410"/>
      <c r="L32" s="410"/>
      <c r="M32" s="411"/>
      <c r="N32" s="82"/>
    </row>
    <row r="33" spans="1:14" s="73" customFormat="1" ht="18" customHeight="1" x14ac:dyDescent="0.2">
      <c r="A33" s="407"/>
      <c r="B33" s="306"/>
      <c r="C33" s="484"/>
      <c r="D33" s="460"/>
      <c r="F33" s="408"/>
      <c r="G33" s="96"/>
      <c r="H33" s="93" t="s">
        <v>81</v>
      </c>
      <c r="I33" s="184" t="s">
        <v>250</v>
      </c>
      <c r="J33" s="61"/>
      <c r="K33" s="61"/>
      <c r="L33" s="55"/>
      <c r="M33" s="55">
        <v>4</v>
      </c>
      <c r="N33" s="49"/>
    </row>
    <row r="34" spans="1:14" s="73" customFormat="1" ht="18" customHeight="1" x14ac:dyDescent="0.2">
      <c r="A34" s="407"/>
      <c r="B34" s="38"/>
      <c r="C34" s="484"/>
      <c r="D34" s="460"/>
      <c r="F34" s="408"/>
      <c r="G34" s="98"/>
      <c r="H34" s="93" t="s">
        <v>84</v>
      </c>
      <c r="I34" s="306" t="s">
        <v>84</v>
      </c>
      <c r="J34" s="61"/>
      <c r="K34" s="61"/>
      <c r="L34" s="55"/>
      <c r="M34" s="55">
        <v>1</v>
      </c>
      <c r="N34" s="82"/>
    </row>
    <row r="35" spans="1:14" s="7" customFormat="1" ht="17.5" customHeight="1" x14ac:dyDescent="0.2">
      <c r="A35" s="407"/>
      <c r="B35" s="38"/>
      <c r="C35" s="484"/>
      <c r="D35" s="460"/>
      <c r="F35" s="408"/>
      <c r="G35" s="95"/>
      <c r="H35" s="99" t="s">
        <v>86</v>
      </c>
      <c r="I35" s="72" t="s">
        <v>246</v>
      </c>
      <c r="J35" s="94"/>
      <c r="K35" s="94"/>
      <c r="L35" s="55"/>
      <c r="M35" s="55">
        <v>4</v>
      </c>
      <c r="N35" s="82"/>
    </row>
    <row r="36" spans="1:14" s="73" customFormat="1" ht="18" customHeight="1" x14ac:dyDescent="0.2">
      <c r="A36" s="407"/>
      <c r="C36" s="485"/>
      <c r="D36" s="329"/>
      <c r="E36" s="251"/>
      <c r="F36" s="408"/>
      <c r="G36" s="41"/>
      <c r="H36" s="91" t="s">
        <v>88</v>
      </c>
      <c r="I36" s="187" t="s">
        <v>248</v>
      </c>
      <c r="J36" s="61"/>
      <c r="K36" s="61"/>
      <c r="L36" s="100"/>
      <c r="M36" s="54">
        <v>4</v>
      </c>
      <c r="N36" s="82"/>
    </row>
    <row r="37" spans="1:14" s="73" customFormat="1" ht="18" customHeight="1" x14ac:dyDescent="0.2">
      <c r="A37" s="407"/>
      <c r="B37" s="7"/>
      <c r="C37" s="311"/>
      <c r="F37" s="408"/>
      <c r="G37" s="41"/>
      <c r="H37" s="101" t="s">
        <v>89</v>
      </c>
      <c r="I37" s="185" t="s">
        <v>248</v>
      </c>
      <c r="J37" s="94"/>
      <c r="K37" s="102"/>
      <c r="L37" s="103"/>
      <c r="M37" s="186">
        <v>1</v>
      </c>
      <c r="N37" s="82"/>
    </row>
    <row r="38" spans="1:14" s="73" customFormat="1" ht="18" customHeight="1" x14ac:dyDescent="0.2">
      <c r="A38" s="407"/>
      <c r="C38" s="70"/>
      <c r="D38" s="303"/>
      <c r="F38" s="408"/>
      <c r="G38" s="41"/>
      <c r="H38" s="409" t="s">
        <v>90</v>
      </c>
      <c r="I38" s="410"/>
      <c r="J38" s="410"/>
      <c r="K38" s="410"/>
      <c r="L38" s="410"/>
      <c r="M38" s="411"/>
      <c r="N38" s="82"/>
    </row>
    <row r="39" spans="1:14" s="73" customFormat="1" ht="17.25" customHeight="1" x14ac:dyDescent="0.25">
      <c r="A39" s="255"/>
      <c r="B39" s="27" t="s">
        <v>50</v>
      </c>
      <c r="C39" s="28" t="s">
        <v>19</v>
      </c>
      <c r="D39" s="28" t="s">
        <v>261</v>
      </c>
      <c r="E39" s="28" t="s">
        <v>262</v>
      </c>
      <c r="F39" s="29"/>
      <c r="G39" s="30"/>
      <c r="H39" s="93" t="s">
        <v>91</v>
      </c>
      <c r="I39" s="72" t="s">
        <v>248</v>
      </c>
      <c r="J39" s="61"/>
      <c r="K39" s="61"/>
      <c r="L39" s="55"/>
      <c r="M39" s="55">
        <v>4</v>
      </c>
      <c r="N39" s="82"/>
    </row>
    <row r="40" spans="1:14" s="73" customFormat="1" ht="24" customHeight="1" x14ac:dyDescent="0.2">
      <c r="A40" s="256"/>
      <c r="B40" s="109" t="s">
        <v>92</v>
      </c>
      <c r="C40" s="33" t="s">
        <v>27</v>
      </c>
      <c r="D40" s="33" t="s">
        <v>92</v>
      </c>
      <c r="E40" s="34" t="s">
        <v>27</v>
      </c>
      <c r="F40" s="35"/>
      <c r="G40" s="36"/>
      <c r="H40" s="93" t="s">
        <v>93</v>
      </c>
      <c r="I40" s="72" t="s">
        <v>248</v>
      </c>
      <c r="J40" s="61"/>
      <c r="K40" s="61"/>
      <c r="L40" s="55"/>
      <c r="M40" s="55">
        <v>1</v>
      </c>
      <c r="N40" s="82"/>
    </row>
    <row r="41" spans="1:14" s="73" customFormat="1" ht="18" customHeight="1" x14ac:dyDescent="0.2">
      <c r="A41" s="396" t="s">
        <v>94</v>
      </c>
      <c r="B41" s="184" t="s">
        <v>253</v>
      </c>
      <c r="C41" s="184" t="s">
        <v>101</v>
      </c>
      <c r="D41" s="226" t="s">
        <v>256</v>
      </c>
      <c r="F41" s="377" t="s">
        <v>94</v>
      </c>
      <c r="G41" s="95"/>
      <c r="H41" s="93" t="s">
        <v>97</v>
      </c>
      <c r="I41" s="93" t="s">
        <v>249</v>
      </c>
      <c r="J41" s="61"/>
      <c r="K41" s="61"/>
      <c r="L41" s="55"/>
      <c r="M41" s="55">
        <v>4</v>
      </c>
      <c r="N41" s="49"/>
    </row>
    <row r="42" spans="1:14" s="73" customFormat="1" ht="18" customHeight="1" x14ac:dyDescent="0.2">
      <c r="A42" s="397"/>
      <c r="B42" s="93" t="s">
        <v>254</v>
      </c>
      <c r="D42" s="159" t="s">
        <v>148</v>
      </c>
      <c r="E42" s="93" t="s">
        <v>98</v>
      </c>
      <c r="F42" s="378"/>
      <c r="G42" s="110"/>
      <c r="H42" s="93" t="s">
        <v>100</v>
      </c>
      <c r="I42" s="184" t="s">
        <v>76</v>
      </c>
      <c r="J42" s="61"/>
      <c r="K42" s="61"/>
      <c r="L42" s="55"/>
      <c r="M42" s="55">
        <v>4</v>
      </c>
      <c r="N42" s="82"/>
    </row>
    <row r="43" spans="1:14" s="7" customFormat="1" ht="18" customHeight="1" x14ac:dyDescent="0.2">
      <c r="A43" s="397"/>
      <c r="B43" s="93" t="s">
        <v>93</v>
      </c>
      <c r="C43" s="184" t="s">
        <v>260</v>
      </c>
      <c r="D43" s="287" t="s">
        <v>257</v>
      </c>
      <c r="E43" s="184" t="s">
        <v>95</v>
      </c>
      <c r="F43" s="378"/>
      <c r="G43" s="111"/>
      <c r="H43" s="399" t="s">
        <v>102</v>
      </c>
      <c r="I43" s="400"/>
      <c r="J43" s="400"/>
      <c r="K43" s="400"/>
      <c r="L43" s="400"/>
      <c r="M43" s="400"/>
      <c r="N43" s="401"/>
    </row>
    <row r="44" spans="1:14" s="73" customFormat="1" ht="18" customHeight="1" x14ac:dyDescent="0.2">
      <c r="A44" s="397"/>
      <c r="B44" s="287" t="s">
        <v>263</v>
      </c>
      <c r="D44" s="184" t="s">
        <v>255</v>
      </c>
      <c r="E44" s="62" t="s">
        <v>87</v>
      </c>
      <c r="F44" s="378"/>
      <c r="G44" s="111"/>
      <c r="H44" s="93" t="s">
        <v>104</v>
      </c>
      <c r="I44" s="187"/>
      <c r="J44" s="259"/>
      <c r="K44" s="259"/>
      <c r="L44" s="262"/>
      <c r="M44" s="262">
        <v>1</v>
      </c>
      <c r="N44" s="86"/>
    </row>
    <row r="45" spans="1:14" s="73" customFormat="1" ht="19.5" customHeight="1" x14ac:dyDescent="0.2">
      <c r="A45" s="397"/>
      <c r="B45" s="287" t="s">
        <v>264</v>
      </c>
      <c r="D45" s="101" t="s">
        <v>89</v>
      </c>
      <c r="E45" s="287"/>
      <c r="F45" s="378"/>
      <c r="G45" s="41"/>
      <c r="H45" s="93" t="s">
        <v>105</v>
      </c>
      <c r="I45" s="72"/>
      <c r="J45" s="259"/>
      <c r="K45" s="259"/>
      <c r="L45" s="262"/>
      <c r="M45" s="262">
        <v>4</v>
      </c>
      <c r="N45" s="113"/>
    </row>
    <row r="46" spans="1:14" s="73" customFormat="1" ht="19.5" customHeight="1" x14ac:dyDescent="0.2">
      <c r="A46" s="397"/>
      <c r="B46" s="247"/>
      <c r="E46" s="315"/>
      <c r="F46" s="378"/>
      <c r="G46" s="41"/>
      <c r="H46" s="399" t="s">
        <v>106</v>
      </c>
      <c r="I46" s="400"/>
      <c r="J46" s="400"/>
      <c r="K46" s="400"/>
      <c r="L46" s="400"/>
      <c r="M46" s="400"/>
      <c r="N46" s="401"/>
    </row>
    <row r="47" spans="1:14" s="73" customFormat="1" ht="18" customHeight="1" x14ac:dyDescent="0.2">
      <c r="A47" s="397"/>
      <c r="B47" s="196"/>
      <c r="F47" s="378"/>
      <c r="G47" s="41"/>
      <c r="H47" s="93" t="s">
        <v>107</v>
      </c>
      <c r="I47" s="72"/>
      <c r="J47" s="259"/>
      <c r="K47" s="259"/>
      <c r="L47" s="262"/>
      <c r="M47" s="262">
        <v>4</v>
      </c>
      <c r="N47" s="76"/>
    </row>
    <row r="48" spans="1:14" s="115" customFormat="1" ht="18.75" customHeight="1" x14ac:dyDescent="0.2">
      <c r="A48" s="398"/>
      <c r="B48" s="248"/>
      <c r="C48" s="70"/>
      <c r="D48" s="257"/>
      <c r="E48" s="199"/>
      <c r="F48" s="379"/>
      <c r="G48" s="41"/>
      <c r="H48" s="93" t="s">
        <v>107</v>
      </c>
      <c r="I48" s="72"/>
      <c r="J48" s="259"/>
      <c r="K48" s="259"/>
      <c r="L48" s="262"/>
      <c r="M48" s="262">
        <v>4</v>
      </c>
      <c r="N48" s="76"/>
    </row>
    <row r="49" spans="1:14" s="115" customFormat="1" ht="16.5" customHeight="1" x14ac:dyDescent="0.25">
      <c r="A49" s="138"/>
      <c r="B49" s="487" t="s">
        <v>108</v>
      </c>
      <c r="C49" s="487"/>
      <c r="D49" s="140"/>
      <c r="E49" s="140"/>
      <c r="F49" s="253"/>
      <c r="G49" s="249"/>
      <c r="H49" s="93" t="s">
        <v>107</v>
      </c>
      <c r="I49" s="190"/>
      <c r="J49" s="259"/>
      <c r="K49" s="259"/>
      <c r="L49" s="262"/>
      <c r="M49" s="262">
        <v>4</v>
      </c>
      <c r="N49" s="82"/>
    </row>
    <row r="50" spans="1:14" s="115" customFormat="1" ht="21" customHeight="1" x14ac:dyDescent="0.2">
      <c r="A50" s="142"/>
      <c r="B50" s="488"/>
      <c r="C50" s="488"/>
      <c r="F50" s="253"/>
      <c r="G50" s="250"/>
      <c r="H50" s="93" t="s">
        <v>107</v>
      </c>
      <c r="I50" s="190"/>
      <c r="J50" s="259"/>
      <c r="K50" s="259"/>
      <c r="L50" s="262"/>
      <c r="M50" s="262">
        <v>4</v>
      </c>
      <c r="N50" s="86"/>
    </row>
    <row r="51" spans="1:14" s="115" customFormat="1" ht="19.5" customHeight="1" x14ac:dyDescent="0.2">
      <c r="A51" s="115" t="s">
        <v>109</v>
      </c>
      <c r="B51" s="489" t="s">
        <v>110</v>
      </c>
      <c r="C51" s="490"/>
      <c r="D51" s="490"/>
      <c r="E51" s="490"/>
      <c r="F51" s="490"/>
      <c r="G51" s="251"/>
      <c r="H51" s="261" t="s">
        <v>111</v>
      </c>
      <c r="I51" s="116"/>
      <c r="J51" s="112"/>
      <c r="K51" s="112"/>
      <c r="L51" s="112"/>
      <c r="M51" s="117"/>
      <c r="N51" s="118"/>
    </row>
    <row r="52" spans="1:14" s="115" customFormat="1" ht="19.5" customHeight="1" x14ac:dyDescent="0.2">
      <c r="A52" s="137"/>
      <c r="B52" s="490" t="s">
        <v>112</v>
      </c>
      <c r="C52" s="490"/>
      <c r="D52" s="490"/>
      <c r="E52" s="490"/>
      <c r="F52" s="490"/>
      <c r="G52" s="134"/>
      <c r="H52" s="93" t="s">
        <v>113</v>
      </c>
      <c r="I52" s="57" t="s">
        <v>42</v>
      </c>
      <c r="J52" s="259"/>
      <c r="K52" s="259"/>
      <c r="L52" s="262"/>
      <c r="M52" s="262">
        <v>3</v>
      </c>
      <c r="N52" s="121"/>
    </row>
    <row r="53" spans="1:14" s="115" customFormat="1" ht="17.5" customHeight="1" x14ac:dyDescent="0.2">
      <c r="A53" s="138"/>
      <c r="B53" s="490" t="s">
        <v>114</v>
      </c>
      <c r="C53" s="490"/>
      <c r="D53" s="490"/>
      <c r="E53" s="490"/>
      <c r="F53" s="253"/>
      <c r="G53" s="252"/>
      <c r="H53" s="93" t="s">
        <v>115</v>
      </c>
      <c r="I53" s="60" t="s">
        <v>43</v>
      </c>
      <c r="J53" s="259"/>
      <c r="K53" s="259"/>
      <c r="L53" s="262">
        <v>1</v>
      </c>
      <c r="M53" s="262">
        <v>3</v>
      </c>
      <c r="N53" s="82"/>
    </row>
    <row r="54" spans="1:14" s="115" customFormat="1" ht="18.75" customHeight="1" x14ac:dyDescent="0.2">
      <c r="A54" s="138"/>
      <c r="B54" s="491" t="s">
        <v>116</v>
      </c>
      <c r="C54" s="491"/>
      <c r="D54" s="491"/>
      <c r="E54" s="491"/>
      <c r="F54" s="253"/>
      <c r="G54" s="252"/>
      <c r="H54" s="93" t="s">
        <v>117</v>
      </c>
      <c r="I54" s="190"/>
      <c r="J54" s="53"/>
      <c r="K54" s="53"/>
      <c r="L54" s="55">
        <v>2</v>
      </c>
      <c r="M54" s="55">
        <v>2</v>
      </c>
      <c r="N54" s="122"/>
    </row>
    <row r="55" spans="1:14" s="115" customFormat="1" ht="18.75" customHeight="1" x14ac:dyDescent="0.2">
      <c r="A55" s="138"/>
      <c r="B55" s="490" t="s">
        <v>118</v>
      </c>
      <c r="C55" s="490"/>
      <c r="D55" s="490"/>
      <c r="E55" s="490"/>
      <c r="F55" s="253"/>
      <c r="G55" s="134"/>
      <c r="H55" s="123"/>
      <c r="I55" s="123"/>
      <c r="J55" s="123"/>
      <c r="K55" s="123"/>
      <c r="L55" s="123"/>
      <c r="M55" s="123"/>
      <c r="N55" s="122"/>
    </row>
    <row r="56" spans="1:14" s="115" customFormat="1" ht="19.5" customHeight="1" x14ac:dyDescent="0.2">
      <c r="A56" s="138"/>
      <c r="B56" s="490" t="s">
        <v>119</v>
      </c>
      <c r="C56" s="490"/>
      <c r="D56" s="490"/>
      <c r="E56" s="490"/>
      <c r="F56" s="490"/>
      <c r="G56" s="134"/>
      <c r="H56" s="123"/>
      <c r="I56" s="123"/>
      <c r="J56" s="123"/>
      <c r="K56" s="123"/>
      <c r="L56" s="123"/>
      <c r="M56" s="123"/>
      <c r="N56" s="122"/>
    </row>
    <row r="57" spans="1:14" s="115" customFormat="1" ht="20.25" customHeight="1" x14ac:dyDescent="0.2">
      <c r="A57" s="138"/>
      <c r="B57" s="364" t="s">
        <v>120</v>
      </c>
      <c r="C57" s="364"/>
      <c r="D57" s="364"/>
      <c r="E57" s="364"/>
      <c r="F57" s="253"/>
      <c r="G57" s="134"/>
      <c r="H57" s="123"/>
      <c r="I57" s="123"/>
      <c r="J57" s="123"/>
      <c r="K57" s="123"/>
      <c r="L57" s="123"/>
      <c r="M57" s="123"/>
      <c r="N57" s="122"/>
    </row>
    <row r="58" spans="1:14" s="115" customFormat="1" ht="20.25" customHeight="1" x14ac:dyDescent="0.2">
      <c r="A58" s="138"/>
      <c r="B58" s="364" t="s">
        <v>121</v>
      </c>
      <c r="C58" s="364"/>
      <c r="D58" s="364"/>
      <c r="E58" s="364"/>
      <c r="F58" s="253"/>
      <c r="G58" s="252"/>
      <c r="H58" s="380" t="s">
        <v>122</v>
      </c>
      <c r="I58" s="382"/>
      <c r="J58" s="384" t="s">
        <v>23</v>
      </c>
      <c r="K58" s="386" t="s">
        <v>24</v>
      </c>
      <c r="L58" s="126"/>
      <c r="M58" s="126"/>
      <c r="N58" s="127"/>
    </row>
    <row r="59" spans="1:14" s="115" customFormat="1" ht="19.5" customHeight="1" x14ac:dyDescent="0.2">
      <c r="A59" s="138"/>
      <c r="B59" s="364" t="s">
        <v>123</v>
      </c>
      <c r="C59" s="364"/>
      <c r="D59" s="364"/>
      <c r="E59" s="364"/>
      <c r="F59" s="253"/>
      <c r="G59" s="134"/>
      <c r="H59" s="381"/>
      <c r="I59" s="383"/>
      <c r="J59" s="385"/>
      <c r="K59" s="387"/>
      <c r="L59" s="129"/>
      <c r="M59" s="129"/>
      <c r="N59" s="130"/>
    </row>
    <row r="60" spans="1:14" s="115" customFormat="1" ht="20.25" customHeight="1" x14ac:dyDescent="0.2">
      <c r="A60" s="138"/>
      <c r="B60" s="364" t="s">
        <v>124</v>
      </c>
      <c r="C60" s="364"/>
      <c r="D60" s="364"/>
      <c r="E60" s="364"/>
      <c r="F60" s="253"/>
      <c r="G60" s="253"/>
      <c r="H60" s="135" t="s">
        <v>125</v>
      </c>
      <c r="I60" s="62" t="s">
        <v>39</v>
      </c>
      <c r="J60" s="259"/>
      <c r="K60" s="259"/>
      <c r="L60" s="262"/>
      <c r="M60" s="262"/>
      <c r="N60" s="136"/>
    </row>
    <row r="61" spans="1:14" s="115" customFormat="1" ht="17.5" customHeight="1" thickBot="1" x14ac:dyDescent="0.25">
      <c r="A61" s="138"/>
      <c r="B61" s="479" t="s">
        <v>126</v>
      </c>
      <c r="C61" s="479"/>
      <c r="D61" s="479"/>
      <c r="E61" s="479"/>
      <c r="F61" s="138"/>
      <c r="G61" s="253"/>
      <c r="H61" s="135" t="s">
        <v>127</v>
      </c>
      <c r="I61" s="190"/>
      <c r="J61" s="259"/>
      <c r="K61" s="259"/>
      <c r="L61" s="262"/>
      <c r="M61" s="262"/>
      <c r="N61" s="122"/>
    </row>
    <row r="62" spans="1:14" s="115" customFormat="1" ht="19.5" customHeight="1" x14ac:dyDescent="0.2">
      <c r="A62" s="138"/>
      <c r="B62" s="367" t="s">
        <v>128</v>
      </c>
      <c r="C62" s="480"/>
      <c r="D62" s="480"/>
      <c r="E62" s="480"/>
      <c r="F62" s="201"/>
      <c r="G62" s="253"/>
      <c r="H62" s="135" t="s">
        <v>129</v>
      </c>
      <c r="I62" s="190"/>
      <c r="J62" s="259"/>
      <c r="K62" s="259"/>
      <c r="L62" s="55"/>
      <c r="M62" s="55"/>
      <c r="N62" s="141"/>
    </row>
    <row r="63" spans="1:14" s="115" customFormat="1" ht="18.75" customHeight="1" x14ac:dyDescent="0.2">
      <c r="A63" s="138"/>
      <c r="B63" s="481"/>
      <c r="C63" s="482"/>
      <c r="D63" s="482"/>
      <c r="E63" s="482"/>
      <c r="F63" s="202"/>
      <c r="G63" s="253"/>
      <c r="H63" s="371" t="s">
        <v>130</v>
      </c>
      <c r="I63" s="143"/>
      <c r="J63" s="373" t="s">
        <v>23</v>
      </c>
      <c r="K63" s="375" t="s">
        <v>24</v>
      </c>
      <c r="L63" s="144"/>
      <c r="M63" s="145"/>
      <c r="N63" s="146"/>
    </row>
    <row r="64" spans="1:14" s="115" customFormat="1" ht="18" customHeight="1" x14ac:dyDescent="0.2">
      <c r="A64" s="9"/>
      <c r="B64" s="264" t="s">
        <v>131</v>
      </c>
      <c r="C64" s="203"/>
      <c r="D64" s="203"/>
      <c r="E64" s="203"/>
      <c r="F64" s="204"/>
      <c r="G64" s="253"/>
      <c r="H64" s="372"/>
      <c r="I64" s="143"/>
      <c r="J64" s="374"/>
      <c r="K64" s="376"/>
      <c r="L64" s="144"/>
      <c r="M64" s="147"/>
      <c r="N64" s="130"/>
    </row>
    <row r="65" spans="1:14" s="115" customFormat="1" ht="21" customHeight="1" x14ac:dyDescent="0.2">
      <c r="A65" s="140"/>
      <c r="B65" s="205" t="s">
        <v>132</v>
      </c>
      <c r="C65" s="203"/>
      <c r="D65" s="203"/>
      <c r="E65" s="203"/>
      <c r="F65" s="206"/>
      <c r="G65" s="253"/>
      <c r="H65" s="148" t="s">
        <v>133</v>
      </c>
      <c r="I65" s="59" t="s">
        <v>45</v>
      </c>
      <c r="J65" s="259"/>
      <c r="K65" s="259"/>
      <c r="L65" s="262"/>
      <c r="M65" s="262"/>
      <c r="N65" s="136"/>
    </row>
    <row r="66" spans="1:14" s="7" customFormat="1" ht="19.5" customHeight="1" x14ac:dyDescent="0.2">
      <c r="A66" s="9"/>
      <c r="B66" s="207" t="s">
        <v>134</v>
      </c>
      <c r="C66" s="208"/>
      <c r="D66" s="209"/>
      <c r="E66" s="209"/>
      <c r="F66" s="210"/>
      <c r="G66" s="253"/>
      <c r="H66" s="149" t="s">
        <v>135</v>
      </c>
      <c r="I66" s="124"/>
      <c r="J66" s="359"/>
      <c r="K66" s="359"/>
      <c r="L66" s="361"/>
      <c r="M66" s="361"/>
      <c r="N66" s="122"/>
    </row>
    <row r="67" spans="1:14" s="7" customFormat="1" ht="18.75" customHeight="1" x14ac:dyDescent="0.2">
      <c r="A67" s="9"/>
      <c r="B67" s="207" t="s">
        <v>136</v>
      </c>
      <c r="C67" s="209"/>
      <c r="D67" s="209"/>
      <c r="E67" s="209"/>
      <c r="F67" s="210"/>
      <c r="G67" s="253"/>
      <c r="H67" s="150" t="s">
        <v>137</v>
      </c>
      <c r="I67" s="189"/>
      <c r="J67" s="360"/>
      <c r="K67" s="360"/>
      <c r="L67" s="362"/>
      <c r="M67" s="362"/>
      <c r="N67" s="122"/>
    </row>
    <row r="68" spans="1:14" s="7" customFormat="1" ht="18.75" customHeight="1" x14ac:dyDescent="0.2">
      <c r="A68" s="9"/>
      <c r="B68" s="207" t="s">
        <v>138</v>
      </c>
      <c r="C68" s="209"/>
      <c r="D68" s="209"/>
      <c r="E68" s="209"/>
      <c r="F68" s="210"/>
      <c r="G68" s="253"/>
      <c r="H68" s="151"/>
      <c r="I68" s="136"/>
      <c r="J68" s="152"/>
      <c r="K68" s="153"/>
      <c r="L68" s="154"/>
      <c r="M68" s="154"/>
      <c r="N68" s="122"/>
    </row>
    <row r="69" spans="1:14" s="7" customFormat="1" ht="19.5" customHeight="1" x14ac:dyDescent="0.2">
      <c r="A69" s="9"/>
      <c r="B69" s="207" t="s">
        <v>139</v>
      </c>
      <c r="C69" s="203"/>
      <c r="D69" s="203"/>
      <c r="E69" s="203"/>
      <c r="F69" s="211"/>
      <c r="G69" s="253"/>
      <c r="H69" s="155"/>
      <c r="I69" s="141"/>
      <c r="J69" s="156"/>
      <c r="K69" s="157"/>
      <c r="L69" s="158"/>
      <c r="M69" s="158"/>
      <c r="N69" s="141"/>
    </row>
    <row r="70" spans="1:14" s="7" customFormat="1" ht="19" customHeight="1" x14ac:dyDescent="0.2">
      <c r="A70" s="9"/>
      <c r="B70" s="388" t="s">
        <v>140</v>
      </c>
      <c r="C70" s="389"/>
      <c r="D70" s="389"/>
      <c r="F70" s="211"/>
      <c r="G70" s="253"/>
      <c r="H70" s="390" t="s">
        <v>141</v>
      </c>
      <c r="I70" s="392" t="s">
        <v>142</v>
      </c>
      <c r="J70" s="394" t="s">
        <v>23</v>
      </c>
      <c r="K70" s="395" t="s">
        <v>24</v>
      </c>
      <c r="L70" s="363" t="s">
        <v>143</v>
      </c>
      <c r="M70" s="363" t="s">
        <v>144</v>
      </c>
      <c r="N70" s="363" t="s">
        <v>145</v>
      </c>
    </row>
    <row r="71" spans="1:14" s="7" customFormat="1" ht="20.25" customHeight="1" x14ac:dyDescent="0.2">
      <c r="A71" s="9"/>
      <c r="B71" s="207" t="s">
        <v>146</v>
      </c>
      <c r="C71" s="209"/>
      <c r="D71" s="209"/>
      <c r="E71" s="209"/>
      <c r="F71" s="211"/>
      <c r="G71" s="253"/>
      <c r="H71" s="391"/>
      <c r="I71" s="393"/>
      <c r="J71" s="374"/>
      <c r="K71" s="376"/>
      <c r="L71" s="362"/>
      <c r="M71" s="362"/>
      <c r="N71" s="362"/>
    </row>
    <row r="72" spans="1:14" s="7" customFormat="1" ht="18.75" customHeight="1" x14ac:dyDescent="0.2">
      <c r="A72" s="9"/>
      <c r="B72" s="212" t="s">
        <v>147</v>
      </c>
      <c r="C72" s="9"/>
      <c r="D72" s="9"/>
      <c r="E72" s="9"/>
      <c r="F72" s="213"/>
      <c r="G72" s="253"/>
      <c r="H72" s="159" t="s">
        <v>148</v>
      </c>
      <c r="I72" s="63" t="s">
        <v>46</v>
      </c>
      <c r="J72" s="259"/>
      <c r="K72" s="259"/>
      <c r="L72" s="160"/>
      <c r="M72" s="160" t="s">
        <v>248</v>
      </c>
      <c r="N72" s="161"/>
    </row>
    <row r="73" spans="1:14" s="7" customFormat="1" ht="20.25" customHeight="1" x14ac:dyDescent="0.2">
      <c r="A73" s="9"/>
      <c r="B73" s="207" t="s">
        <v>149</v>
      </c>
      <c r="C73" s="209"/>
      <c r="D73" s="209"/>
      <c r="E73" s="209"/>
      <c r="F73" s="211"/>
      <c r="G73" s="253"/>
      <c r="H73" s="159" t="s">
        <v>148</v>
      </c>
      <c r="I73" s="63" t="s">
        <v>85</v>
      </c>
      <c r="J73" s="259"/>
      <c r="K73" s="259"/>
      <c r="L73" s="160" t="s">
        <v>246</v>
      </c>
      <c r="M73" s="160"/>
      <c r="N73" s="162" t="s">
        <v>246</v>
      </c>
    </row>
    <row r="74" spans="1:14" s="7" customFormat="1" ht="19" customHeight="1" x14ac:dyDescent="0.2">
      <c r="A74" s="9"/>
      <c r="B74" s="212" t="s">
        <v>150</v>
      </c>
      <c r="C74" s="214"/>
      <c r="D74" s="214"/>
      <c r="E74" s="214"/>
      <c r="F74" s="211"/>
      <c r="G74" s="253"/>
      <c r="H74" s="159" t="s">
        <v>148</v>
      </c>
      <c r="I74" s="312"/>
      <c r="J74" s="259"/>
      <c r="K74" s="259"/>
      <c r="L74" s="160"/>
      <c r="M74" s="160"/>
      <c r="N74" s="162"/>
    </row>
    <row r="75" spans="1:14" s="7" customFormat="1" ht="19" customHeight="1" x14ac:dyDescent="0.2">
      <c r="A75" s="9"/>
      <c r="B75" s="207" t="s">
        <v>151</v>
      </c>
      <c r="C75" s="209"/>
      <c r="D75" s="209"/>
      <c r="E75" s="209"/>
      <c r="F75" s="211"/>
      <c r="G75" s="253"/>
      <c r="H75" s="159" t="s">
        <v>148</v>
      </c>
      <c r="I75" s="189"/>
      <c r="J75" s="259"/>
      <c r="K75" s="259"/>
      <c r="L75" s="160"/>
      <c r="M75" s="160"/>
      <c r="N75" s="162"/>
    </row>
    <row r="76" spans="1:14" s="7" customFormat="1" ht="18" customHeight="1" x14ac:dyDescent="0.2">
      <c r="A76" s="9"/>
      <c r="B76" s="215" t="s">
        <v>152</v>
      </c>
      <c r="C76" s="216"/>
      <c r="D76" s="216"/>
      <c r="E76" s="216"/>
      <c r="F76" s="211"/>
      <c r="G76" s="138"/>
      <c r="H76" s="77"/>
      <c r="I76" s="302" t="s">
        <v>65</v>
      </c>
      <c r="J76" s="79"/>
      <c r="K76" s="80"/>
      <c r="L76" s="77"/>
      <c r="M76" s="81"/>
      <c r="N76" s="49"/>
    </row>
    <row r="77" spans="1:14" s="7" customFormat="1" ht="17.25" customHeight="1" x14ac:dyDescent="0.2">
      <c r="A77" s="9"/>
      <c r="B77" s="217" t="s">
        <v>153</v>
      </c>
      <c r="C77" s="216"/>
      <c r="D77" s="216"/>
      <c r="E77" s="216"/>
      <c r="F77" s="211"/>
      <c r="G77" s="138"/>
      <c r="H77" s="77"/>
      <c r="I77" s="84"/>
      <c r="J77" s="79"/>
      <c r="K77" s="80"/>
      <c r="L77" s="77"/>
      <c r="M77" s="81"/>
      <c r="N77" s="49"/>
    </row>
    <row r="78" spans="1:14" s="7" customFormat="1" ht="18.75" customHeight="1" x14ac:dyDescent="0.2">
      <c r="A78" s="9"/>
      <c r="B78" s="218" t="s">
        <v>154</v>
      </c>
      <c r="F78" s="211"/>
      <c r="G78" s="163"/>
      <c r="H78" s="77"/>
      <c r="I78" s="78"/>
      <c r="J78" s="79"/>
      <c r="K78" s="80"/>
      <c r="L78" s="77"/>
      <c r="M78" s="81"/>
      <c r="N78" s="49"/>
    </row>
    <row r="79" spans="1:14" s="7" customFormat="1" ht="18.75" customHeight="1" x14ac:dyDescent="0.2">
      <c r="A79" s="9"/>
      <c r="B79" s="225" t="s">
        <v>155</v>
      </c>
      <c r="F79" s="211"/>
      <c r="G79" s="163"/>
      <c r="H79" s="77"/>
      <c r="I79" s="84"/>
      <c r="J79" s="79"/>
      <c r="K79" s="80"/>
      <c r="L79" s="77"/>
      <c r="M79" s="81"/>
      <c r="N79" s="49"/>
    </row>
    <row r="80" spans="1:14" s="7" customFormat="1" ht="17.25" customHeight="1" x14ac:dyDescent="0.2">
      <c r="A80" s="9"/>
      <c r="B80" s="207" t="s">
        <v>156</v>
      </c>
      <c r="C80" s="209"/>
      <c r="D80" s="209"/>
      <c r="E80" s="209"/>
      <c r="F80" s="219"/>
      <c r="G80" s="163"/>
      <c r="H80" s="77"/>
      <c r="I80" s="165"/>
      <c r="J80" s="79"/>
      <c r="K80" s="80"/>
      <c r="L80" s="77"/>
      <c r="M80" s="81"/>
      <c r="N80" s="49"/>
    </row>
    <row r="81" spans="1:14" s="7" customFormat="1" ht="19.5" customHeight="1" x14ac:dyDescent="0.2">
      <c r="A81" s="9"/>
      <c r="B81" s="220"/>
      <c r="C81" s="221"/>
      <c r="D81" s="221"/>
      <c r="E81" s="209"/>
      <c r="F81" s="219"/>
      <c r="G81" s="163"/>
      <c r="H81" s="166"/>
      <c r="I81" s="165"/>
      <c r="J81" s="167"/>
      <c r="K81" s="168"/>
      <c r="L81" s="169"/>
      <c r="M81" s="81"/>
      <c r="N81" s="13"/>
    </row>
    <row r="82" spans="1:14" s="7" customFormat="1" ht="17.25" customHeight="1" thickBot="1" x14ac:dyDescent="0.25">
      <c r="A82" s="9"/>
      <c r="B82" s="222"/>
      <c r="C82" s="223"/>
      <c r="D82" s="223"/>
      <c r="E82" s="223"/>
      <c r="F82" s="224"/>
      <c r="G82" s="163"/>
      <c r="H82" s="346" t="s">
        <v>157</v>
      </c>
      <c r="I82" s="327"/>
      <c r="J82" s="348" t="s">
        <v>158</v>
      </c>
      <c r="K82" s="349"/>
      <c r="L82" s="350"/>
      <c r="M82" s="351">
        <v>30</v>
      </c>
      <c r="N82" s="352"/>
    </row>
    <row r="83" spans="1:14" s="7" customFormat="1" ht="18.75" customHeight="1" x14ac:dyDescent="0.2">
      <c r="A83" s="9"/>
      <c r="G83" s="163"/>
      <c r="H83" s="347"/>
      <c r="I83" s="329"/>
      <c r="J83" s="348" t="s">
        <v>159</v>
      </c>
      <c r="K83" s="349"/>
      <c r="L83" s="350"/>
      <c r="M83" s="321">
        <f>SUMIF(J9:J57,"A",L9:L57)+SUMIF(J9:J57,"A-",L9:L57)+SUMIF(J11:J57,"B+",L11:L57)+SUMIF(J11:J57,"B",L11:L57)+SUMIF(J11:J57,"B-",L11:L57)+SUMIF(J11:J57,"C+",L11:L57)+SUMIF(J11:J57,"C",L11:L57)+SUMIF(J11:J57,"C-",L11:L57)+SUMIF(J11:J57,"D+",L11:L57)+SUMIF(J11:J57,"D",L11:L57)+SUMIF(J11:J57,"D-",L11:L57)+SUMIF(J11:J57,"T",L11:L57)+SUMIF(J11:J57,"AP",L11:L57)+SUMIF(J11:J57,"IB",L11:L57)</f>
        <v>0</v>
      </c>
      <c r="N83" s="322"/>
    </row>
    <row r="84" spans="1:14" s="9" customFormat="1" ht="18" customHeight="1" x14ac:dyDescent="0.2">
      <c r="B84" s="7"/>
      <c r="C84" s="7"/>
      <c r="D84" s="7"/>
      <c r="E84" s="7"/>
      <c r="F84" s="7"/>
      <c r="G84" s="170"/>
      <c r="H84" s="346" t="s">
        <v>160</v>
      </c>
      <c r="I84" s="327"/>
      <c r="J84" s="348" t="s">
        <v>161</v>
      </c>
      <c r="K84" s="349"/>
      <c r="L84" s="350"/>
      <c r="M84" s="351">
        <v>68</v>
      </c>
      <c r="N84" s="352"/>
    </row>
    <row r="85" spans="1:14" s="7" customFormat="1" ht="18" customHeight="1" x14ac:dyDescent="0.2">
      <c r="A85" s="9"/>
      <c r="B85" s="353" t="s">
        <v>162</v>
      </c>
      <c r="C85" s="354"/>
      <c r="D85" s="171" t="s">
        <v>163</v>
      </c>
      <c r="E85" s="172"/>
      <c r="G85" s="163"/>
      <c r="H85" s="347"/>
      <c r="I85" s="329"/>
      <c r="J85" s="348" t="s">
        <v>159</v>
      </c>
      <c r="K85" s="349"/>
      <c r="L85" s="350"/>
      <c r="M85" s="321">
        <f>SUMIF(J11:J57,"A",M11:M57)+SUMIF(J11:J57,"A-",M11:M57)+SUMIF(J11:J57,"B+",M11:M57)+SUMIF(J11:J57,"B",M11:M57)+SUMIF(J11:J57,"B-",M11:M57)+SUMIF(J11:J57,"C+",M11:M57)+SUMIF(J11:J57,"C",M11:M57)+SUMIF(J11:J57,"C-",M11:M57)+SUMIF(J11:J57,"D+",M11:M57)+SUMIF(J11:J57,"D",M11:M57)+SUMIF(J11:J57,"D-",M11:M57)+SUMIF(J11:J57,"T",M11:M57)+SUMIF(J11:J57,"AP",M11:M57)+SUMIF(J11:J57,"IB",M11:M57)</f>
        <v>0</v>
      </c>
      <c r="N85" s="322"/>
    </row>
    <row r="86" spans="1:14" s="7" customFormat="1" ht="15" customHeight="1" x14ac:dyDescent="0.2">
      <c r="A86" s="9"/>
      <c r="B86" s="355"/>
      <c r="C86" s="356"/>
      <c r="D86" s="173" t="s">
        <v>164</v>
      </c>
      <c r="E86" s="174"/>
      <c r="G86" s="163"/>
      <c r="H86" s="346" t="s">
        <v>24</v>
      </c>
      <c r="I86" s="327"/>
      <c r="J86" s="348" t="s">
        <v>161</v>
      </c>
      <c r="K86" s="349"/>
      <c r="L86" s="350"/>
      <c r="M86" s="351">
        <v>135</v>
      </c>
      <c r="N86" s="352"/>
    </row>
    <row r="87" spans="1:14" s="7" customFormat="1" ht="15" x14ac:dyDescent="0.2">
      <c r="A87" s="2"/>
      <c r="B87" s="355"/>
      <c r="C87" s="356"/>
      <c r="D87" s="173" t="s">
        <v>165</v>
      </c>
      <c r="E87" s="175"/>
      <c r="F87" s="1"/>
      <c r="G87" s="163"/>
      <c r="H87" s="347"/>
      <c r="I87" s="329"/>
      <c r="J87" s="348" t="s">
        <v>159</v>
      </c>
      <c r="K87" s="349"/>
      <c r="L87" s="350"/>
      <c r="M87" s="321">
        <f>SUM(K11:K81)</f>
        <v>0</v>
      </c>
      <c r="N87" s="322"/>
    </row>
    <row r="88" spans="1:14" s="7" customFormat="1" ht="15" x14ac:dyDescent="0.2">
      <c r="A88" s="2"/>
      <c r="B88" s="355"/>
      <c r="C88" s="356"/>
      <c r="D88" s="176"/>
      <c r="E88" s="177"/>
      <c r="F88" s="1"/>
      <c r="G88" s="163"/>
      <c r="H88" s="6"/>
      <c r="J88" s="8"/>
      <c r="M88" s="9"/>
    </row>
    <row r="89" spans="1:14" s="7" customFormat="1" ht="15" customHeight="1" x14ac:dyDescent="0.2">
      <c r="A89" s="2"/>
      <c r="B89" s="355"/>
      <c r="C89" s="356"/>
      <c r="D89" s="176"/>
      <c r="E89" s="177"/>
      <c r="F89" s="1"/>
      <c r="G89" s="163"/>
      <c r="H89" s="323" t="s">
        <v>166</v>
      </c>
      <c r="I89" s="324"/>
      <c r="J89" s="325"/>
      <c r="K89" s="326"/>
      <c r="L89" s="326"/>
      <c r="M89" s="326"/>
      <c r="N89" s="327"/>
    </row>
    <row r="90" spans="1:14" s="7" customFormat="1" ht="15" x14ac:dyDescent="0.2">
      <c r="A90" s="2"/>
      <c r="B90" s="357"/>
      <c r="C90" s="358"/>
      <c r="D90" s="176"/>
      <c r="E90" s="177"/>
      <c r="F90" s="1"/>
      <c r="G90" s="163"/>
      <c r="H90" s="330" t="s">
        <v>167</v>
      </c>
      <c r="I90" s="331"/>
      <c r="J90" s="328"/>
      <c r="K90" s="328"/>
      <c r="L90" s="328"/>
      <c r="M90" s="328"/>
      <c r="N90" s="329"/>
    </row>
    <row r="91" spans="1:14" s="7" customFormat="1" ht="15" customHeight="1" x14ac:dyDescent="0.2">
      <c r="A91" s="2"/>
      <c r="B91" s="492" t="s">
        <v>168</v>
      </c>
      <c r="C91" s="492"/>
      <c r="D91" s="492"/>
      <c r="E91" s="492"/>
      <c r="F91" s="1"/>
      <c r="G91" s="163"/>
      <c r="H91" s="330"/>
      <c r="I91" s="332"/>
      <c r="J91" s="339" t="s">
        <v>159</v>
      </c>
      <c r="K91" s="340"/>
      <c r="L91" s="340"/>
      <c r="M91" s="341">
        <f>SUMIF(J11:J81, "AP",K11:K81)+SUMIF(J11:J81,"IB",K11:K81)</f>
        <v>0</v>
      </c>
      <c r="N91" s="342"/>
    </row>
    <row r="92" spans="1:14" s="7" customFormat="1" ht="15" x14ac:dyDescent="0.2">
      <c r="A92" s="2"/>
      <c r="B92" s="337"/>
      <c r="C92" s="337"/>
      <c r="D92" s="337"/>
      <c r="E92" s="337"/>
      <c r="F92" s="1"/>
      <c r="G92" s="163"/>
      <c r="H92" s="333"/>
      <c r="I92" s="334"/>
      <c r="J92" s="339" t="s">
        <v>169</v>
      </c>
      <c r="K92" s="340"/>
      <c r="L92" s="340"/>
      <c r="M92" s="343">
        <v>32</v>
      </c>
      <c r="N92" s="344"/>
    </row>
    <row r="93" spans="1:14" s="7" customFormat="1" ht="15" customHeight="1" x14ac:dyDescent="0.2">
      <c r="A93" s="2"/>
      <c r="B93" s="345" t="s">
        <v>170</v>
      </c>
      <c r="C93" s="345"/>
      <c r="D93" s="345"/>
      <c r="E93" s="345"/>
      <c r="F93" s="1"/>
      <c r="G93" s="163"/>
      <c r="H93" s="335"/>
      <c r="I93" s="336"/>
      <c r="J93" s="316" t="s">
        <v>171</v>
      </c>
      <c r="K93" s="317"/>
      <c r="L93" s="318"/>
      <c r="M93" s="319"/>
      <c r="N93" s="320"/>
    </row>
    <row r="94" spans="1:14" s="7" customFormat="1" ht="16" x14ac:dyDescent="0.2">
      <c r="A94" s="2"/>
      <c r="B94" s="290" t="s">
        <v>172</v>
      </c>
      <c r="C94" s="1"/>
      <c r="D94" s="1"/>
      <c r="E94" s="1"/>
      <c r="F94" s="1"/>
      <c r="G94" s="163"/>
      <c r="H94" s="6"/>
      <c r="J94" s="8"/>
      <c r="M94" s="9"/>
    </row>
    <row r="95" spans="1:14" s="7" customFormat="1" ht="32" x14ac:dyDescent="0.2">
      <c r="A95" s="2"/>
      <c r="B95" s="290" t="s">
        <v>173</v>
      </c>
      <c r="C95" s="1"/>
      <c r="D95" s="1"/>
      <c r="E95" s="1"/>
      <c r="F95" s="1"/>
      <c r="G95" s="163"/>
      <c r="H95" s="6"/>
      <c r="J95" s="8"/>
      <c r="M95" s="9"/>
    </row>
    <row r="96" spans="1:14" s="7" customFormat="1" ht="16" x14ac:dyDescent="0.2">
      <c r="A96" s="2"/>
      <c r="B96" s="290" t="s">
        <v>172</v>
      </c>
      <c r="C96" s="1"/>
      <c r="D96" s="1"/>
      <c r="E96" s="1"/>
      <c r="F96" s="1"/>
      <c r="G96" s="163"/>
      <c r="H96" s="6"/>
      <c r="J96" s="8"/>
      <c r="M96" s="9"/>
    </row>
    <row r="97" spans="1:14" s="7" customFormat="1" ht="128" x14ac:dyDescent="0.2">
      <c r="A97" s="2"/>
      <c r="B97" s="290" t="s">
        <v>174</v>
      </c>
      <c r="C97" s="290" t="s">
        <v>175</v>
      </c>
      <c r="D97" s="290" t="s">
        <v>176</v>
      </c>
      <c r="E97" s="290" t="s">
        <v>177</v>
      </c>
      <c r="F97" s="290" t="s">
        <v>178</v>
      </c>
      <c r="G97" s="163"/>
      <c r="H97" s="6"/>
      <c r="J97" s="8"/>
      <c r="M97" s="9"/>
    </row>
    <row r="98" spans="1:14" s="7" customFormat="1" ht="112" x14ac:dyDescent="0.2">
      <c r="A98" s="2"/>
      <c r="B98" s="290" t="s">
        <v>179</v>
      </c>
      <c r="C98" s="290" t="s">
        <v>180</v>
      </c>
      <c r="D98" s="290" t="s">
        <v>181</v>
      </c>
      <c r="E98" s="290" t="s">
        <v>182</v>
      </c>
      <c r="F98" s="290" t="s">
        <v>183</v>
      </c>
      <c r="G98" s="163"/>
      <c r="H98" s="6"/>
      <c r="J98" s="8"/>
      <c r="M98" s="9"/>
    </row>
    <row r="99" spans="1:14" ht="21" x14ac:dyDescent="0.25">
      <c r="A99" s="255"/>
      <c r="B99" s="27" t="s">
        <v>50</v>
      </c>
      <c r="C99" s="28" t="s">
        <v>19</v>
      </c>
      <c r="D99" s="28" t="s">
        <v>20</v>
      </c>
      <c r="E99" s="28" t="s">
        <v>21</v>
      </c>
      <c r="F99" s="29"/>
      <c r="H99" s="6"/>
      <c r="I99" s="7"/>
      <c r="J99" s="8"/>
      <c r="K99" s="7"/>
      <c r="L99" s="7"/>
      <c r="M99" s="9"/>
      <c r="N99" s="7"/>
    </row>
    <row r="100" spans="1:14" ht="16" x14ac:dyDescent="0.2">
      <c r="A100" s="256"/>
      <c r="B100" s="109" t="s">
        <v>92</v>
      </c>
      <c r="C100" s="33" t="s">
        <v>27</v>
      </c>
      <c r="D100" s="33" t="s">
        <v>92</v>
      </c>
      <c r="E100" s="34" t="s">
        <v>27</v>
      </c>
      <c r="F100" s="35"/>
    </row>
    <row r="101" spans="1:14" ht="16" x14ac:dyDescent="0.2">
      <c r="A101" s="396" t="s">
        <v>94</v>
      </c>
      <c r="B101" s="226" t="s">
        <v>73</v>
      </c>
      <c r="C101" s="184" t="s">
        <v>95</v>
      </c>
      <c r="D101" s="73"/>
      <c r="E101" s="493"/>
      <c r="F101" s="377" t="s">
        <v>94</v>
      </c>
    </row>
    <row r="102" spans="1:14" ht="16" x14ac:dyDescent="0.2">
      <c r="A102" s="397"/>
      <c r="B102" s="184" t="s">
        <v>101</v>
      </c>
      <c r="C102" s="93" t="s">
        <v>98</v>
      </c>
      <c r="D102" s="73"/>
      <c r="E102" s="494"/>
      <c r="F102" s="408"/>
    </row>
    <row r="103" spans="1:14" ht="16" x14ac:dyDescent="0.2">
      <c r="A103" s="397"/>
      <c r="B103" s="184" t="s">
        <v>99</v>
      </c>
      <c r="C103" s="184" t="s">
        <v>76</v>
      </c>
      <c r="D103" s="7"/>
      <c r="E103" s="494"/>
      <c r="F103" s="408"/>
    </row>
    <row r="104" spans="1:14" ht="16" x14ac:dyDescent="0.2">
      <c r="A104" s="397"/>
      <c r="B104" s="73"/>
      <c r="C104" s="287" t="s">
        <v>96</v>
      </c>
      <c r="D104" s="73"/>
      <c r="E104" s="494"/>
      <c r="F104" s="408"/>
    </row>
    <row r="105" spans="1:14" ht="16" x14ac:dyDescent="0.2">
      <c r="A105" s="397"/>
      <c r="B105" s="73"/>
      <c r="C105" s="62" t="s">
        <v>87</v>
      </c>
      <c r="D105" s="73"/>
      <c r="E105" s="494"/>
      <c r="F105" s="408"/>
    </row>
    <row r="106" spans="1:14" ht="15" x14ac:dyDescent="0.2">
      <c r="A106" s="397"/>
      <c r="B106" s="247"/>
      <c r="C106" s="97"/>
      <c r="D106" s="73"/>
      <c r="E106" s="494"/>
      <c r="F106" s="408"/>
    </row>
    <row r="107" spans="1:14" ht="15" x14ac:dyDescent="0.2">
      <c r="A107" s="397"/>
      <c r="B107" s="196"/>
      <c r="C107" s="97"/>
      <c r="D107" s="73"/>
      <c r="E107" s="246"/>
      <c r="F107" s="408"/>
    </row>
    <row r="108" spans="1:14" ht="125.25" customHeight="1" x14ac:dyDescent="0.2">
      <c r="A108" s="398"/>
      <c r="B108" s="248"/>
      <c r="C108" s="70"/>
      <c r="D108" s="257"/>
      <c r="E108" s="199"/>
      <c r="F108" s="495"/>
    </row>
    <row r="112" spans="1:14" ht="203.25" customHeight="1" x14ac:dyDescent="0.2"/>
    <row r="113" ht="176.25" customHeight="1" x14ac:dyDescent="0.2"/>
    <row r="114" hidden="1" x14ac:dyDescent="0.2"/>
    <row r="115" ht="29.25" customHeight="1" x14ac:dyDescent="0.2"/>
  </sheetData>
  <sheetProtection formatCells="0" formatColumns="0" formatRows="0" insertHyperlinks="0"/>
  <mergeCells count="109">
    <mergeCell ref="B93:E93"/>
    <mergeCell ref="B91:E92"/>
    <mergeCell ref="B85:C90"/>
    <mergeCell ref="B56:F56"/>
    <mergeCell ref="A101:A108"/>
    <mergeCell ref="E101:E106"/>
    <mergeCell ref="F101:F108"/>
    <mergeCell ref="B1:D1"/>
    <mergeCell ref="H1:M1"/>
    <mergeCell ref="B2:C2"/>
    <mergeCell ref="D2:E3"/>
    <mergeCell ref="H2:M3"/>
    <mergeCell ref="A11:A18"/>
    <mergeCell ref="F11:F18"/>
    <mergeCell ref="J11:J12"/>
    <mergeCell ref="K11:K12"/>
    <mergeCell ref="L11:L12"/>
    <mergeCell ref="A21:A28"/>
    <mergeCell ref="F21:F28"/>
    <mergeCell ref="H27:H28"/>
    <mergeCell ref="H38:M38"/>
    <mergeCell ref="A41:A48"/>
    <mergeCell ref="F41:F48"/>
    <mergeCell ref="H43:N43"/>
    <mergeCell ref="N2:N8"/>
    <mergeCell ref="B3:C3"/>
    <mergeCell ref="B4:C4"/>
    <mergeCell ref="D4:E4"/>
    <mergeCell ref="H4:M5"/>
    <mergeCell ref="M9:M10"/>
    <mergeCell ref="B5:C5"/>
    <mergeCell ref="D5:E6"/>
    <mergeCell ref="B6:C6"/>
    <mergeCell ref="H6:M7"/>
    <mergeCell ref="B7:C7"/>
    <mergeCell ref="D7:E8"/>
    <mergeCell ref="B8:C8"/>
    <mergeCell ref="H8:M8"/>
    <mergeCell ref="H9:H10"/>
    <mergeCell ref="I9:I10"/>
    <mergeCell ref="J9:J10"/>
    <mergeCell ref="K9:K10"/>
    <mergeCell ref="L9:L10"/>
    <mergeCell ref="M27:M28"/>
    <mergeCell ref="A31:A38"/>
    <mergeCell ref="C31:C36"/>
    <mergeCell ref="D31:D36"/>
    <mergeCell ref="F31:F38"/>
    <mergeCell ref="H32:M32"/>
    <mergeCell ref="B57:E57"/>
    <mergeCell ref="B58:E58"/>
    <mergeCell ref="H58:H59"/>
    <mergeCell ref="I58:I59"/>
    <mergeCell ref="J58:J59"/>
    <mergeCell ref="B49:C50"/>
    <mergeCell ref="B51:F51"/>
    <mergeCell ref="B52:F52"/>
    <mergeCell ref="B53:E53"/>
    <mergeCell ref="B54:E54"/>
    <mergeCell ref="B55:E55"/>
    <mergeCell ref="H46:N46"/>
    <mergeCell ref="I27:I28"/>
    <mergeCell ref="J27:J28"/>
    <mergeCell ref="K27:K28"/>
    <mergeCell ref="L27:L28"/>
    <mergeCell ref="B70:D70"/>
    <mergeCell ref="H70:H71"/>
    <mergeCell ref="I70:I71"/>
    <mergeCell ref="J70:J71"/>
    <mergeCell ref="K70:K71"/>
    <mergeCell ref="L70:L71"/>
    <mergeCell ref="K58:K59"/>
    <mergeCell ref="B59:E59"/>
    <mergeCell ref="B60:E60"/>
    <mergeCell ref="B61:E61"/>
    <mergeCell ref="B62:E63"/>
    <mergeCell ref="H63:H64"/>
    <mergeCell ref="J63:J64"/>
    <mergeCell ref="K63:K64"/>
    <mergeCell ref="M70:M71"/>
    <mergeCell ref="N70:N71"/>
    <mergeCell ref="H82:I83"/>
    <mergeCell ref="J82:L82"/>
    <mergeCell ref="M82:N82"/>
    <mergeCell ref="J83:L83"/>
    <mergeCell ref="M83:N83"/>
    <mergeCell ref="J66:J67"/>
    <mergeCell ref="K66:K67"/>
    <mergeCell ref="L66:L67"/>
    <mergeCell ref="M66:M67"/>
    <mergeCell ref="H84:I85"/>
    <mergeCell ref="J84:L84"/>
    <mergeCell ref="M84:N84"/>
    <mergeCell ref="J85:L85"/>
    <mergeCell ref="M85:N85"/>
    <mergeCell ref="H86:I87"/>
    <mergeCell ref="J86:L86"/>
    <mergeCell ref="M86:N86"/>
    <mergeCell ref="J87:L87"/>
    <mergeCell ref="J93:L93"/>
    <mergeCell ref="M93:N93"/>
    <mergeCell ref="M87:N87"/>
    <mergeCell ref="H89:I89"/>
    <mergeCell ref="J89:N90"/>
    <mergeCell ref="H90:I93"/>
    <mergeCell ref="J91:L91"/>
    <mergeCell ref="M91:N91"/>
    <mergeCell ref="J92:L92"/>
    <mergeCell ref="M92:N92"/>
  </mergeCells>
  <hyperlinks>
    <hyperlink ref="B4:C4" r:id="rId1" display="Please refer to the academic catalog for more detailed information on each course" xr:uid="{B7D450A1-1B67-904C-90CF-05C9018036DD}"/>
  </hyperlinks>
  <pageMargins left="0.45" right="0.45" top="0.5" bottom="0.5" header="0.3" footer="0.3"/>
  <pageSetup scale="43" orientation="portrait"/>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1F999-D704-4956-8ADC-CA4FB10CF18C}">
  <sheetPr>
    <pageSetUpPr fitToPage="1"/>
  </sheetPr>
  <dimension ref="A1:N115"/>
  <sheetViews>
    <sheetView showGridLines="0" topLeftCell="A27" zoomScale="114" zoomScaleNormal="100" zoomScalePageLayoutView="84" workbookViewId="0">
      <selection activeCell="D39" sqref="D39"/>
    </sheetView>
  </sheetViews>
  <sheetFormatPr baseColWidth="10" defaultColWidth="9.1640625" defaultRowHeight="14" x14ac:dyDescent="0.2"/>
  <cols>
    <col min="1" max="1" width="3.6640625" style="2" customWidth="1"/>
    <col min="2" max="2" width="34.5" style="1" customWidth="1"/>
    <col min="3" max="3" width="35.1640625" style="1" customWidth="1"/>
    <col min="4" max="4" width="36.33203125" style="1" customWidth="1"/>
    <col min="5" max="5" width="35.33203125" style="1" customWidth="1"/>
    <col min="6" max="6" width="21.33203125" style="1" customWidth="1"/>
    <col min="7" max="7" width="1.5" style="5" customWidth="1"/>
    <col min="8" max="8" width="13" style="3" customWidth="1"/>
    <col min="9" max="9" width="33.5" style="1" customWidth="1"/>
    <col min="10" max="10" width="4.33203125" style="4" customWidth="1"/>
    <col min="11" max="11" width="4.6640625" style="1" customWidth="1"/>
    <col min="12" max="12" width="4.83203125" style="1" customWidth="1"/>
    <col min="13" max="13" width="4.5" style="2" customWidth="1"/>
    <col min="14" max="15" width="4.5" style="1" customWidth="1"/>
    <col min="16" max="16384" width="9.1640625" style="1"/>
  </cols>
  <sheetData>
    <row r="1" spans="1:14" s="7" customFormat="1" ht="47.5" customHeight="1" x14ac:dyDescent="0.45">
      <c r="A1" s="10"/>
      <c r="B1" s="457" t="s">
        <v>0</v>
      </c>
      <c r="C1" s="365"/>
      <c r="D1" s="458"/>
      <c r="E1" s="178" t="s">
        <v>1</v>
      </c>
      <c r="F1" s="11"/>
      <c r="G1" s="12"/>
      <c r="H1" s="465" t="s">
        <v>2</v>
      </c>
      <c r="I1" s="466"/>
      <c r="J1" s="466"/>
      <c r="K1" s="466"/>
      <c r="L1" s="466"/>
      <c r="M1" s="467"/>
      <c r="N1" s="13"/>
    </row>
    <row r="2" spans="1:14" s="7" customFormat="1" ht="25.5" customHeight="1" x14ac:dyDescent="0.25">
      <c r="B2" s="459" t="s">
        <v>3</v>
      </c>
      <c r="C2" s="460"/>
      <c r="D2" s="461" t="s">
        <v>4</v>
      </c>
      <c r="E2" s="462"/>
      <c r="F2" s="14"/>
      <c r="G2" s="12"/>
      <c r="H2" s="468" t="s">
        <v>5</v>
      </c>
      <c r="I2" s="469"/>
      <c r="J2" s="469"/>
      <c r="K2" s="469"/>
      <c r="L2" s="469"/>
      <c r="M2" s="470"/>
      <c r="N2" s="474"/>
    </row>
    <row r="3" spans="1:14" s="7" customFormat="1" ht="55.5" customHeight="1" x14ac:dyDescent="0.25">
      <c r="A3" s="9"/>
      <c r="B3" s="463" t="s">
        <v>6</v>
      </c>
      <c r="C3" s="464"/>
      <c r="D3" s="432"/>
      <c r="E3" s="429"/>
      <c r="F3" s="14"/>
      <c r="G3" s="12"/>
      <c r="H3" s="471"/>
      <c r="I3" s="472"/>
      <c r="J3" s="472"/>
      <c r="K3" s="472"/>
      <c r="L3" s="472"/>
      <c r="M3" s="473"/>
      <c r="N3" s="475"/>
    </row>
    <row r="4" spans="1:14" s="7" customFormat="1" ht="29.25" customHeight="1" x14ac:dyDescent="0.25">
      <c r="A4" s="258"/>
      <c r="B4" s="426" t="s">
        <v>7</v>
      </c>
      <c r="C4" s="427"/>
      <c r="D4" s="428" t="s">
        <v>8</v>
      </c>
      <c r="E4" s="429"/>
      <c r="F4" s="14"/>
      <c r="G4" s="12"/>
      <c r="H4" s="448" t="s">
        <v>9</v>
      </c>
      <c r="I4" s="449"/>
      <c r="J4" s="449"/>
      <c r="K4" s="449"/>
      <c r="L4" s="449"/>
      <c r="M4" s="450"/>
      <c r="N4" s="475"/>
    </row>
    <row r="5" spans="1:14" s="7" customFormat="1" ht="19" customHeight="1" x14ac:dyDescent="0.2">
      <c r="A5" s="9"/>
      <c r="B5" s="430" t="s">
        <v>247</v>
      </c>
      <c r="C5" s="431"/>
      <c r="D5" s="428" t="s">
        <v>11</v>
      </c>
      <c r="E5" s="429"/>
      <c r="F5" s="15"/>
      <c r="G5" s="16"/>
      <c r="H5" s="477"/>
      <c r="I5" s="478"/>
      <c r="J5" s="478"/>
      <c r="K5" s="478"/>
      <c r="L5" s="478"/>
      <c r="M5" s="434"/>
      <c r="N5" s="475"/>
    </row>
    <row r="6" spans="1:14" s="17" customFormat="1" ht="20.25" customHeight="1" x14ac:dyDescent="0.2">
      <c r="B6" s="430" t="s">
        <v>12</v>
      </c>
      <c r="C6" s="431"/>
      <c r="D6" s="432"/>
      <c r="E6" s="429"/>
      <c r="F6" s="18"/>
      <c r="G6" s="19"/>
      <c r="H6" s="448" t="s">
        <v>13</v>
      </c>
      <c r="I6" s="449"/>
      <c r="J6" s="449"/>
      <c r="K6" s="449"/>
      <c r="L6" s="449"/>
      <c r="M6" s="450"/>
      <c r="N6" s="475"/>
    </row>
    <row r="7" spans="1:14" s="9" customFormat="1" ht="19" customHeight="1" x14ac:dyDescent="0.2">
      <c r="B7" s="433" t="s">
        <v>14</v>
      </c>
      <c r="C7" s="431"/>
      <c r="D7" s="428" t="s">
        <v>15</v>
      </c>
      <c r="E7" s="434"/>
      <c r="F7" s="20"/>
      <c r="G7" s="21"/>
      <c r="H7" s="451"/>
      <c r="I7" s="452"/>
      <c r="J7" s="452"/>
      <c r="K7" s="452"/>
      <c r="L7" s="452"/>
      <c r="M7" s="453"/>
      <c r="N7" s="475"/>
    </row>
    <row r="8" spans="1:14" s="25" customFormat="1" ht="23.5" customHeight="1" x14ac:dyDescent="0.2">
      <c r="A8" s="22"/>
      <c r="B8" s="437" t="s">
        <v>16</v>
      </c>
      <c r="C8" s="438"/>
      <c r="D8" s="435"/>
      <c r="E8" s="436"/>
      <c r="F8" s="23"/>
      <c r="G8" s="24"/>
      <c r="H8" s="454" t="s">
        <v>17</v>
      </c>
      <c r="I8" s="455"/>
      <c r="J8" s="455"/>
      <c r="K8" s="455"/>
      <c r="L8" s="455"/>
      <c r="M8" s="456"/>
      <c r="N8" s="476"/>
    </row>
    <row r="9" spans="1:14" s="7" customFormat="1" ht="26.25" customHeight="1" x14ac:dyDescent="0.45">
      <c r="A9" s="26"/>
      <c r="B9" s="457" t="s">
        <v>0</v>
      </c>
      <c r="C9" s="365"/>
      <c r="D9" s="458"/>
      <c r="E9" s="178" t="s">
        <v>1</v>
      </c>
      <c r="F9" s="11"/>
      <c r="G9" s="30"/>
      <c r="H9" s="440" t="s">
        <v>22</v>
      </c>
      <c r="I9" s="442"/>
      <c r="J9" s="444" t="s">
        <v>23</v>
      </c>
      <c r="K9" s="446" t="s">
        <v>24</v>
      </c>
      <c r="L9" s="446" t="s">
        <v>25</v>
      </c>
      <c r="M9" s="446" t="s">
        <v>26</v>
      </c>
      <c r="N9" s="31"/>
    </row>
    <row r="10" spans="1:14" s="7" customFormat="1" ht="24" customHeight="1" x14ac:dyDescent="0.25">
      <c r="A10" s="32"/>
      <c r="B10" s="459" t="s">
        <v>3</v>
      </c>
      <c r="C10" s="460"/>
      <c r="D10" s="461" t="s">
        <v>4</v>
      </c>
      <c r="E10" s="462"/>
      <c r="F10" s="14"/>
      <c r="G10" s="36"/>
      <c r="H10" s="441"/>
      <c r="I10" s="443"/>
      <c r="J10" s="445"/>
      <c r="K10" s="447"/>
      <c r="L10" s="447"/>
      <c r="M10" s="447"/>
      <c r="N10" s="37"/>
    </row>
    <row r="11" spans="1:14" s="9" customFormat="1" ht="18.75" customHeight="1" x14ac:dyDescent="0.25">
      <c r="A11" s="413" t="s">
        <v>28</v>
      </c>
      <c r="B11" s="463" t="s">
        <v>6</v>
      </c>
      <c r="C11" s="464"/>
      <c r="D11" s="432"/>
      <c r="E11" s="429"/>
      <c r="F11" s="14"/>
      <c r="G11" s="41"/>
      <c r="H11" s="42" t="s">
        <v>32</v>
      </c>
      <c r="I11" s="44" t="s">
        <v>33</v>
      </c>
      <c r="J11" s="416"/>
      <c r="K11" s="359"/>
      <c r="L11" s="419">
        <v>4</v>
      </c>
      <c r="M11" s="262"/>
      <c r="N11" s="43"/>
    </row>
    <row r="12" spans="1:14" s="9" customFormat="1" ht="20.25" customHeight="1" x14ac:dyDescent="0.25">
      <c r="A12" s="414"/>
      <c r="B12" s="426" t="s">
        <v>7</v>
      </c>
      <c r="C12" s="427"/>
      <c r="D12" s="428" t="s">
        <v>8</v>
      </c>
      <c r="E12" s="429"/>
      <c r="F12" s="14"/>
      <c r="G12" s="41"/>
      <c r="H12" s="47" t="s">
        <v>35</v>
      </c>
      <c r="I12" s="50" t="s">
        <v>36</v>
      </c>
      <c r="J12" s="417"/>
      <c r="K12" s="418"/>
      <c r="L12" s="420"/>
      <c r="M12" s="48"/>
      <c r="N12" s="49"/>
    </row>
    <row r="13" spans="1:14" s="9" customFormat="1" ht="19.5" customHeight="1" x14ac:dyDescent="0.2">
      <c r="A13" s="414"/>
      <c r="B13" s="430" t="s">
        <v>247</v>
      </c>
      <c r="C13" s="431"/>
      <c r="D13" s="428" t="s">
        <v>11</v>
      </c>
      <c r="E13" s="429"/>
      <c r="F13" s="15"/>
      <c r="G13" s="41"/>
      <c r="H13" s="52" t="s">
        <v>38</v>
      </c>
      <c r="I13" s="192"/>
      <c r="J13" s="53"/>
      <c r="K13" s="53"/>
      <c r="L13" s="54">
        <v>4</v>
      </c>
      <c r="M13" s="55"/>
      <c r="N13" s="56"/>
    </row>
    <row r="14" spans="1:14" s="9" customFormat="1" ht="20.25" customHeight="1" x14ac:dyDescent="0.2">
      <c r="A14" s="414"/>
      <c r="B14" s="430" t="s">
        <v>12</v>
      </c>
      <c r="C14" s="431"/>
      <c r="D14" s="432"/>
      <c r="E14" s="429"/>
      <c r="F14" s="18"/>
      <c r="G14" s="41"/>
      <c r="H14" s="52" t="s">
        <v>41</v>
      </c>
      <c r="I14" s="192"/>
      <c r="J14" s="53"/>
      <c r="K14" s="53"/>
      <c r="L14" s="54">
        <v>1</v>
      </c>
      <c r="M14" s="55"/>
      <c r="N14" s="56"/>
    </row>
    <row r="15" spans="1:14" s="9" customFormat="1" ht="20.5" customHeight="1" x14ac:dyDescent="0.2">
      <c r="A15" s="414"/>
      <c r="B15" s="433" t="s">
        <v>14</v>
      </c>
      <c r="C15" s="431"/>
      <c r="D15" s="428" t="s">
        <v>15</v>
      </c>
      <c r="E15" s="434"/>
      <c r="F15" s="20"/>
      <c r="G15" s="41"/>
      <c r="H15" s="52" t="s">
        <v>44</v>
      </c>
      <c r="I15" s="298" t="s">
        <v>29</v>
      </c>
      <c r="J15" s="53"/>
      <c r="K15" s="53"/>
      <c r="L15" s="54">
        <v>4</v>
      </c>
      <c r="M15" s="55"/>
      <c r="N15" s="56"/>
    </row>
    <row r="16" spans="1:14" s="9" customFormat="1" ht="18.75" customHeight="1" x14ac:dyDescent="0.2">
      <c r="A16" s="407"/>
      <c r="B16" s="437" t="s">
        <v>16</v>
      </c>
      <c r="C16" s="438"/>
      <c r="D16" s="435"/>
      <c r="E16" s="436"/>
      <c r="F16" s="23"/>
      <c r="G16" s="41"/>
      <c r="H16" s="52" t="s">
        <v>47</v>
      </c>
      <c r="I16" s="39" t="s">
        <v>30</v>
      </c>
      <c r="J16" s="53"/>
      <c r="K16" s="53"/>
      <c r="L16" s="54">
        <v>4</v>
      </c>
      <c r="M16" s="55"/>
      <c r="N16" s="56"/>
    </row>
    <row r="17" spans="1:14" s="9" customFormat="1" ht="18.75" customHeight="1" x14ac:dyDescent="0.25">
      <c r="A17" s="407"/>
      <c r="B17" s="27" t="s">
        <v>18</v>
      </c>
      <c r="C17" s="28" t="s">
        <v>19</v>
      </c>
      <c r="D17" s="28" t="s">
        <v>20</v>
      </c>
      <c r="E17" s="28" t="s">
        <v>21</v>
      </c>
      <c r="F17" s="29"/>
      <c r="G17" s="41"/>
      <c r="H17" s="52" t="s">
        <v>48</v>
      </c>
      <c r="I17" s="192"/>
      <c r="J17" s="53"/>
      <c r="K17" s="61"/>
      <c r="L17" s="260">
        <v>4</v>
      </c>
      <c r="M17" s="262"/>
      <c r="N17" s="56"/>
    </row>
    <row r="18" spans="1:14" s="7" customFormat="1" ht="21.75" customHeight="1" x14ac:dyDescent="0.2">
      <c r="A18" s="415"/>
      <c r="B18" s="33" t="s">
        <v>27</v>
      </c>
      <c r="C18" s="33" t="s">
        <v>27</v>
      </c>
      <c r="D18" s="33" t="s">
        <v>27</v>
      </c>
      <c r="E18" s="34" t="s">
        <v>27</v>
      </c>
      <c r="F18" s="35"/>
      <c r="G18" s="41"/>
      <c r="H18" s="52" t="s">
        <v>49</v>
      </c>
      <c r="I18" s="192"/>
      <c r="J18" s="65"/>
      <c r="K18" s="65"/>
      <c r="L18" s="54">
        <v>4</v>
      </c>
      <c r="M18" s="55"/>
      <c r="N18" s="56"/>
    </row>
    <row r="19" spans="1:14" s="73" customFormat="1" ht="18.75" customHeight="1" x14ac:dyDescent="0.25">
      <c r="A19" s="71"/>
      <c r="B19" s="9"/>
      <c r="C19" s="9"/>
      <c r="D19" s="9"/>
      <c r="E19" s="9"/>
      <c r="F19" s="439" t="s">
        <v>28</v>
      </c>
      <c r="G19" s="30"/>
      <c r="H19" s="52" t="s">
        <v>51</v>
      </c>
      <c r="I19" s="45" t="s">
        <v>34</v>
      </c>
      <c r="J19" s="53"/>
      <c r="K19" s="53"/>
      <c r="L19" s="54">
        <v>3</v>
      </c>
      <c r="M19" s="55"/>
      <c r="N19" s="56"/>
    </row>
    <row r="20" spans="1:14" s="73" customFormat="1" ht="21.75" customHeight="1" x14ac:dyDescent="0.2">
      <c r="A20" s="74"/>
      <c r="B20" s="9"/>
      <c r="C20" s="9"/>
      <c r="D20" s="9"/>
      <c r="E20" s="9"/>
      <c r="F20" s="408"/>
      <c r="G20" s="36"/>
      <c r="H20" s="52" t="s">
        <v>52</v>
      </c>
      <c r="I20" s="45" t="s">
        <v>37</v>
      </c>
      <c r="J20" s="53"/>
      <c r="K20" s="53"/>
      <c r="L20" s="54">
        <v>1</v>
      </c>
      <c r="M20" s="55"/>
      <c r="N20" s="56"/>
    </row>
    <row r="21" spans="1:14" s="73" customFormat="1" ht="19.5" customHeight="1" x14ac:dyDescent="0.2">
      <c r="A21" s="406" t="s">
        <v>53</v>
      </c>
      <c r="B21" s="9"/>
      <c r="C21" s="9"/>
      <c r="D21" s="9"/>
      <c r="E21" s="9"/>
      <c r="F21" s="408"/>
      <c r="G21" s="75"/>
      <c r="H21" s="52" t="s">
        <v>56</v>
      </c>
      <c r="I21" s="58" t="s">
        <v>40</v>
      </c>
      <c r="J21" s="53"/>
      <c r="K21" s="53"/>
      <c r="L21" s="54">
        <v>1</v>
      </c>
      <c r="M21" s="55"/>
      <c r="N21" s="49"/>
    </row>
    <row r="22" spans="1:14" s="73" customFormat="1" ht="21" customHeight="1" x14ac:dyDescent="0.2">
      <c r="A22" s="414"/>
      <c r="B22" s="9"/>
      <c r="C22" s="9"/>
      <c r="D22" s="9"/>
      <c r="E22" s="9"/>
      <c r="F22" s="408"/>
      <c r="G22" s="41"/>
      <c r="H22" s="52" t="s">
        <v>58</v>
      </c>
      <c r="I22" s="72"/>
      <c r="J22" s="191"/>
      <c r="K22" s="180"/>
      <c r="L22" s="54">
        <v>3</v>
      </c>
      <c r="M22" s="55"/>
      <c r="N22" s="82"/>
    </row>
    <row r="23" spans="1:14" s="73" customFormat="1" ht="32.25" customHeight="1" x14ac:dyDescent="0.2">
      <c r="A23" s="414"/>
      <c r="B23" s="9"/>
      <c r="C23" s="9"/>
      <c r="D23" s="310"/>
      <c r="E23" s="9"/>
      <c r="F23" s="408"/>
      <c r="G23" s="41"/>
      <c r="H23" s="52" t="s">
        <v>60</v>
      </c>
      <c r="I23" s="72"/>
      <c r="J23" s="179"/>
      <c r="K23" s="179"/>
      <c r="L23" s="54">
        <v>1</v>
      </c>
      <c r="M23" s="55"/>
      <c r="N23" s="82"/>
    </row>
    <row r="24" spans="1:14" s="73" customFormat="1" ht="23.25" customHeight="1" x14ac:dyDescent="0.2">
      <c r="A24" s="414"/>
      <c r="B24" s="9"/>
      <c r="C24" s="9"/>
      <c r="D24" s="310"/>
      <c r="E24" s="9"/>
      <c r="F24" s="408"/>
      <c r="G24" s="85"/>
      <c r="H24" s="52" t="s">
        <v>62</v>
      </c>
      <c r="I24" s="72"/>
      <c r="J24" s="179"/>
      <c r="K24" s="164"/>
      <c r="L24" s="54">
        <v>1</v>
      </c>
      <c r="M24" s="181"/>
      <c r="N24" s="82"/>
    </row>
    <row r="25" spans="1:14" s="73" customFormat="1" ht="40.5" customHeight="1" x14ac:dyDescent="0.2">
      <c r="A25" s="414"/>
      <c r="B25" s="310"/>
      <c r="C25" s="310"/>
      <c r="D25" s="310"/>
      <c r="E25" s="9"/>
      <c r="F25" s="408"/>
      <c r="G25" s="85"/>
      <c r="H25" s="77"/>
      <c r="I25" s="84"/>
      <c r="J25" s="79"/>
      <c r="K25" s="80"/>
      <c r="L25" s="77"/>
      <c r="M25" s="81"/>
      <c r="N25" s="82"/>
    </row>
    <row r="26" spans="1:14" s="73" customFormat="1" ht="32.25" customHeight="1" x14ac:dyDescent="0.2">
      <c r="A26" s="414"/>
      <c r="B26" s="304"/>
      <c r="C26" s="313"/>
      <c r="D26" s="304"/>
      <c r="E26" s="7"/>
      <c r="F26" s="412"/>
      <c r="G26" s="41"/>
      <c r="H26" s="77"/>
      <c r="I26" s="84"/>
      <c r="J26" s="79"/>
      <c r="K26" s="80"/>
      <c r="L26" s="77"/>
      <c r="M26" s="81"/>
      <c r="N26" s="86"/>
    </row>
    <row r="27" spans="1:14" s="7" customFormat="1" ht="19" customHeight="1" x14ac:dyDescent="0.25">
      <c r="A27" s="414"/>
      <c r="B27" s="27" t="s">
        <v>50</v>
      </c>
      <c r="C27" s="28" t="s">
        <v>19</v>
      </c>
      <c r="D27" s="28" t="s">
        <v>20</v>
      </c>
      <c r="E27" s="28" t="s">
        <v>21</v>
      </c>
      <c r="F27" s="29"/>
      <c r="G27" s="41"/>
      <c r="H27" s="422" t="s">
        <v>66</v>
      </c>
      <c r="I27" s="424"/>
      <c r="J27" s="402" t="s">
        <v>23</v>
      </c>
      <c r="K27" s="404" t="s">
        <v>24</v>
      </c>
      <c r="L27" s="404" t="s">
        <v>25</v>
      </c>
      <c r="M27" s="404" t="s">
        <v>26</v>
      </c>
      <c r="N27" s="87"/>
    </row>
    <row r="28" spans="1:14" s="73" customFormat="1" ht="18" customHeight="1" x14ac:dyDescent="0.2">
      <c r="A28" s="421"/>
      <c r="B28" s="33" t="s">
        <v>27</v>
      </c>
      <c r="C28" s="33" t="s">
        <v>27</v>
      </c>
      <c r="D28" s="34" t="s">
        <v>27</v>
      </c>
      <c r="E28" s="34" t="s">
        <v>27</v>
      </c>
      <c r="F28" s="35"/>
      <c r="G28" s="41"/>
      <c r="H28" s="423"/>
      <c r="I28" s="425"/>
      <c r="J28" s="403"/>
      <c r="K28" s="405"/>
      <c r="L28" s="405"/>
      <c r="M28" s="405"/>
      <c r="N28" s="89"/>
    </row>
    <row r="29" spans="1:14" s="73" customFormat="1" ht="17.25" customHeight="1" x14ac:dyDescent="0.25">
      <c r="A29" s="90"/>
      <c r="D29" s="63"/>
      <c r="F29" s="377" t="s">
        <v>53</v>
      </c>
      <c r="G29" s="30"/>
      <c r="H29" s="274" t="s">
        <v>67</v>
      </c>
      <c r="I29" s="271"/>
      <c r="J29" s="272"/>
      <c r="K29" s="273"/>
      <c r="L29" s="183"/>
      <c r="M29" s="183">
        <v>4</v>
      </c>
      <c r="N29" s="87"/>
    </row>
    <row r="30" spans="1:14" s="73" customFormat="1" ht="20.25" customHeight="1" x14ac:dyDescent="0.2">
      <c r="A30" s="32"/>
      <c r="D30" s="268"/>
      <c r="F30" s="408"/>
      <c r="G30" s="36"/>
      <c r="H30" s="91" t="s">
        <v>69</v>
      </c>
      <c r="I30" s="72"/>
      <c r="J30" s="182"/>
      <c r="K30" s="182"/>
      <c r="L30" s="183"/>
      <c r="M30" s="183">
        <v>5</v>
      </c>
      <c r="N30" s="76"/>
    </row>
    <row r="31" spans="1:14" s="73" customFormat="1" ht="18" customHeight="1" x14ac:dyDescent="0.2">
      <c r="A31" s="406" t="s">
        <v>70</v>
      </c>
      <c r="D31" s="125"/>
      <c r="F31" s="408"/>
      <c r="G31" s="95"/>
      <c r="H31" s="93" t="s">
        <v>74</v>
      </c>
      <c r="I31" s="72"/>
      <c r="J31" s="94"/>
      <c r="K31" s="94"/>
      <c r="L31" s="55"/>
      <c r="M31" s="55">
        <v>4</v>
      </c>
      <c r="N31" s="82"/>
    </row>
    <row r="32" spans="1:14" s="73" customFormat="1" ht="18" customHeight="1" x14ac:dyDescent="0.2">
      <c r="A32" s="407"/>
      <c r="D32" s="125"/>
      <c r="F32" s="408"/>
      <c r="G32" s="96"/>
      <c r="H32" s="409" t="s">
        <v>78</v>
      </c>
      <c r="I32" s="410"/>
      <c r="J32" s="410"/>
      <c r="K32" s="410"/>
      <c r="L32" s="410"/>
      <c r="M32" s="411"/>
      <c r="N32" s="82"/>
    </row>
    <row r="33" spans="1:14" s="73" customFormat="1" ht="18" customHeight="1" x14ac:dyDescent="0.2">
      <c r="A33" s="407"/>
      <c r="D33" s="125"/>
      <c r="F33" s="408"/>
      <c r="G33" s="96"/>
      <c r="H33" s="93" t="s">
        <v>81</v>
      </c>
      <c r="I33" s="72"/>
      <c r="J33" s="61"/>
      <c r="K33" s="61"/>
      <c r="L33" s="55"/>
      <c r="M33" s="55">
        <v>4</v>
      </c>
      <c r="N33" s="49"/>
    </row>
    <row r="34" spans="1:14" s="73" customFormat="1" ht="18" customHeight="1" x14ac:dyDescent="0.2">
      <c r="A34" s="407"/>
      <c r="C34" s="70"/>
      <c r="D34" s="128"/>
      <c r="F34" s="408"/>
      <c r="G34" s="98"/>
      <c r="H34" s="93" t="s">
        <v>84</v>
      </c>
      <c r="I34" s="72"/>
      <c r="J34" s="61"/>
      <c r="K34" s="61"/>
      <c r="L34" s="55"/>
      <c r="M34" s="55">
        <v>1</v>
      </c>
      <c r="N34" s="82"/>
    </row>
    <row r="35" spans="1:14" s="7" customFormat="1" ht="17.5" customHeight="1" x14ac:dyDescent="0.2">
      <c r="A35" s="407"/>
      <c r="C35" s="83"/>
      <c r="E35" s="200"/>
      <c r="F35" s="408"/>
      <c r="G35" s="95"/>
      <c r="H35" s="99" t="s">
        <v>86</v>
      </c>
      <c r="I35" s="72"/>
      <c r="J35" s="94"/>
      <c r="K35" s="94"/>
      <c r="L35" s="55"/>
      <c r="M35" s="55">
        <v>4</v>
      </c>
      <c r="N35" s="82"/>
    </row>
    <row r="36" spans="1:14" s="73" customFormat="1" ht="18" customHeight="1" x14ac:dyDescent="0.2">
      <c r="A36" s="407"/>
      <c r="C36" s="70"/>
      <c r="E36" s="263"/>
      <c r="F36" s="412"/>
      <c r="G36" s="41"/>
      <c r="H36" s="91" t="s">
        <v>88</v>
      </c>
      <c r="I36" s="187"/>
      <c r="J36" s="61"/>
      <c r="K36" s="61"/>
      <c r="L36" s="100"/>
      <c r="M36" s="54">
        <v>4</v>
      </c>
      <c r="N36" s="82"/>
    </row>
    <row r="37" spans="1:14" s="73" customFormat="1" ht="18" customHeight="1" x14ac:dyDescent="0.25">
      <c r="A37" s="407"/>
      <c r="B37" s="27" t="s">
        <v>50</v>
      </c>
      <c r="C37" s="28" t="s">
        <v>19</v>
      </c>
      <c r="D37" s="28" t="s">
        <v>20</v>
      </c>
      <c r="E37" s="28" t="s">
        <v>21</v>
      </c>
      <c r="F37" s="29"/>
      <c r="G37" s="41"/>
      <c r="H37" s="101" t="s">
        <v>89</v>
      </c>
      <c r="I37" s="185"/>
      <c r="J37" s="94"/>
      <c r="K37" s="102"/>
      <c r="L37" s="103"/>
      <c r="M37" s="186">
        <v>1</v>
      </c>
      <c r="N37" s="82"/>
    </row>
    <row r="38" spans="1:14" s="73" customFormat="1" ht="18" customHeight="1" x14ac:dyDescent="0.2">
      <c r="A38" s="407"/>
      <c r="B38" s="33" t="s">
        <v>27</v>
      </c>
      <c r="C38" s="33" t="s">
        <v>27</v>
      </c>
      <c r="D38" s="33" t="s">
        <v>27</v>
      </c>
      <c r="E38" s="92" t="s">
        <v>68</v>
      </c>
      <c r="F38" s="35"/>
      <c r="G38" s="41"/>
      <c r="H38" s="409" t="s">
        <v>90</v>
      </c>
      <c r="I38" s="410"/>
      <c r="J38" s="410"/>
      <c r="K38" s="410"/>
      <c r="L38" s="410"/>
      <c r="M38" s="411"/>
      <c r="N38" s="82"/>
    </row>
    <row r="39" spans="1:14" s="73" customFormat="1" ht="17.25" customHeight="1" x14ac:dyDescent="0.25">
      <c r="A39" s="255"/>
      <c r="B39" s="93" t="s">
        <v>249</v>
      </c>
      <c r="C39" s="184" t="s">
        <v>253</v>
      </c>
      <c r="D39" s="226" t="s">
        <v>256</v>
      </c>
      <c r="F39" s="377" t="s">
        <v>70</v>
      </c>
      <c r="G39" s="30"/>
      <c r="H39" s="93" t="s">
        <v>91</v>
      </c>
      <c r="I39" s="72"/>
      <c r="J39" s="61"/>
      <c r="K39" s="61"/>
      <c r="L39" s="55"/>
      <c r="M39" s="55">
        <v>4</v>
      </c>
      <c r="N39" s="82"/>
    </row>
    <row r="40" spans="1:14" s="73" customFormat="1" ht="24" customHeight="1" x14ac:dyDescent="0.2">
      <c r="A40" s="256"/>
      <c r="B40" s="184" t="s">
        <v>250</v>
      </c>
      <c r="C40" s="93" t="s">
        <v>254</v>
      </c>
      <c r="D40" s="159" t="s">
        <v>148</v>
      </c>
      <c r="F40" s="408"/>
      <c r="G40" s="36"/>
      <c r="H40" s="93" t="s">
        <v>93</v>
      </c>
      <c r="I40" s="72"/>
      <c r="J40" s="61"/>
      <c r="K40" s="61"/>
      <c r="L40" s="55"/>
      <c r="M40" s="55">
        <v>1</v>
      </c>
      <c r="N40" s="82"/>
    </row>
    <row r="41" spans="1:14" s="73" customFormat="1" ht="18" customHeight="1" x14ac:dyDescent="0.2">
      <c r="A41" s="396" t="s">
        <v>94</v>
      </c>
      <c r="B41" s="306" t="s">
        <v>84</v>
      </c>
      <c r="C41" s="93" t="s">
        <v>93</v>
      </c>
      <c r="D41" s="125"/>
      <c r="F41" s="408"/>
      <c r="G41" s="95"/>
      <c r="H41" s="93" t="s">
        <v>97</v>
      </c>
      <c r="I41" s="72"/>
      <c r="J41" s="61"/>
      <c r="K41" s="61"/>
      <c r="L41" s="55"/>
      <c r="M41" s="55">
        <v>4</v>
      </c>
      <c r="N41" s="49"/>
    </row>
    <row r="42" spans="1:14" s="73" customFormat="1" ht="18" customHeight="1" x14ac:dyDescent="0.2">
      <c r="A42" s="397"/>
      <c r="B42" s="38" t="s">
        <v>71</v>
      </c>
      <c r="C42" s="287" t="s">
        <v>96</v>
      </c>
      <c r="D42" s="125"/>
      <c r="F42" s="408"/>
      <c r="G42" s="110"/>
      <c r="H42" s="93" t="s">
        <v>100</v>
      </c>
      <c r="I42" s="72"/>
      <c r="J42" s="61"/>
      <c r="K42" s="61"/>
      <c r="L42" s="55"/>
      <c r="M42" s="55">
        <v>4</v>
      </c>
      <c r="N42" s="82"/>
    </row>
    <row r="43" spans="1:14" s="7" customFormat="1" ht="18" customHeight="1" x14ac:dyDescent="0.2">
      <c r="A43" s="397"/>
      <c r="B43" s="38" t="s">
        <v>75</v>
      </c>
      <c r="C43" s="287" t="s">
        <v>99</v>
      </c>
      <c r="D43" s="125"/>
      <c r="F43" s="408"/>
      <c r="G43" s="111"/>
      <c r="H43" s="399" t="s">
        <v>102</v>
      </c>
      <c r="I43" s="400"/>
      <c r="J43" s="400"/>
      <c r="K43" s="400"/>
      <c r="L43" s="400"/>
      <c r="M43" s="400"/>
      <c r="N43" s="401"/>
    </row>
    <row r="44" spans="1:14" s="73" customFormat="1" ht="18" customHeight="1" x14ac:dyDescent="0.2">
      <c r="A44" s="397"/>
      <c r="C44" s="62" t="s">
        <v>87</v>
      </c>
      <c r="D44" s="128"/>
      <c r="E44" s="251"/>
      <c r="F44" s="408"/>
      <c r="G44" s="111"/>
      <c r="H44" s="93" t="s">
        <v>104</v>
      </c>
      <c r="I44" s="187"/>
      <c r="J44" s="259"/>
      <c r="K44" s="259"/>
      <c r="L44" s="262"/>
      <c r="M44" s="262">
        <v>1</v>
      </c>
      <c r="N44" s="86"/>
    </row>
    <row r="45" spans="1:14" s="73" customFormat="1" ht="19.5" customHeight="1" x14ac:dyDescent="0.2">
      <c r="A45" s="397"/>
      <c r="B45" s="7"/>
      <c r="C45" s="311"/>
      <c r="F45" s="408"/>
      <c r="G45" s="41"/>
      <c r="H45" s="93" t="s">
        <v>105</v>
      </c>
      <c r="I45" s="72"/>
      <c r="J45" s="259"/>
      <c r="K45" s="259"/>
      <c r="L45" s="262"/>
      <c r="M45" s="262">
        <v>4</v>
      </c>
      <c r="N45" s="113"/>
    </row>
    <row r="46" spans="1:14" s="73" customFormat="1" ht="19.5" customHeight="1" x14ac:dyDescent="0.2">
      <c r="A46" s="397"/>
      <c r="C46" s="70"/>
      <c r="D46" s="303"/>
      <c r="F46" s="408"/>
      <c r="G46" s="41"/>
      <c r="H46" s="399" t="s">
        <v>106</v>
      </c>
      <c r="I46" s="400"/>
      <c r="J46" s="400"/>
      <c r="K46" s="400"/>
      <c r="L46" s="400"/>
      <c r="M46" s="400"/>
      <c r="N46" s="401"/>
    </row>
    <row r="47" spans="1:14" s="73" customFormat="1" ht="18" customHeight="1" x14ac:dyDescent="0.25">
      <c r="A47" s="397"/>
      <c r="B47" s="27" t="s">
        <v>50</v>
      </c>
      <c r="C47" s="28" t="s">
        <v>19</v>
      </c>
      <c r="D47" s="28" t="s">
        <v>252</v>
      </c>
      <c r="E47" s="28" t="s">
        <v>251</v>
      </c>
      <c r="F47" s="29"/>
      <c r="G47" s="41"/>
      <c r="H47" s="93" t="s">
        <v>107</v>
      </c>
      <c r="I47" s="72"/>
      <c r="J47" s="259"/>
      <c r="K47" s="259"/>
      <c r="L47" s="262"/>
      <c r="M47" s="262">
        <v>4</v>
      </c>
      <c r="N47" s="76"/>
    </row>
    <row r="48" spans="1:14" s="115" customFormat="1" ht="18.75" customHeight="1" x14ac:dyDescent="0.2">
      <c r="A48" s="398"/>
      <c r="B48" s="109" t="s">
        <v>92</v>
      </c>
      <c r="C48" s="33" t="s">
        <v>27</v>
      </c>
      <c r="D48" s="33" t="s">
        <v>92</v>
      </c>
      <c r="E48" s="34" t="s">
        <v>27</v>
      </c>
      <c r="F48" s="35"/>
      <c r="G48" s="41"/>
      <c r="H48" s="93" t="s">
        <v>107</v>
      </c>
      <c r="I48" s="72"/>
      <c r="J48" s="259"/>
      <c r="K48" s="259"/>
      <c r="L48" s="262"/>
      <c r="M48" s="262">
        <v>4</v>
      </c>
      <c r="N48" s="76"/>
    </row>
    <row r="49" spans="1:14" s="115" customFormat="1" ht="16.5" customHeight="1" x14ac:dyDescent="0.25">
      <c r="A49" s="138"/>
      <c r="B49" s="184" t="s">
        <v>101</v>
      </c>
      <c r="C49" s="184" t="s">
        <v>95</v>
      </c>
      <c r="E49" s="73"/>
      <c r="F49" s="377" t="s">
        <v>94</v>
      </c>
      <c r="G49" s="249"/>
      <c r="H49" s="93" t="s">
        <v>107</v>
      </c>
      <c r="I49" s="190"/>
      <c r="J49" s="259"/>
      <c r="K49" s="259"/>
      <c r="L49" s="262"/>
      <c r="M49" s="262">
        <v>4</v>
      </c>
      <c r="N49" s="82"/>
    </row>
    <row r="50" spans="1:14" s="115" customFormat="1" ht="21" customHeight="1" x14ac:dyDescent="0.2">
      <c r="A50" s="142"/>
      <c r="B50" s="184" t="s">
        <v>255</v>
      </c>
      <c r="C50" s="93" t="s">
        <v>98</v>
      </c>
      <c r="E50" s="73"/>
      <c r="F50" s="378"/>
      <c r="G50" s="250"/>
      <c r="H50" s="93" t="s">
        <v>107</v>
      </c>
      <c r="I50" s="190"/>
      <c r="J50" s="259"/>
      <c r="K50" s="259"/>
      <c r="L50" s="262"/>
      <c r="M50" s="262">
        <v>4</v>
      </c>
      <c r="N50" s="86"/>
    </row>
    <row r="51" spans="1:14" s="115" customFormat="1" ht="19.5" customHeight="1" x14ac:dyDescent="0.2">
      <c r="A51" s="115" t="s">
        <v>109</v>
      </c>
      <c r="B51" s="101" t="s">
        <v>89</v>
      </c>
      <c r="C51" s="184" t="s">
        <v>257</v>
      </c>
      <c r="E51" s="7"/>
      <c r="F51" s="378"/>
      <c r="G51" s="251"/>
      <c r="H51" s="261" t="s">
        <v>111</v>
      </c>
      <c r="I51" s="116"/>
      <c r="J51" s="112"/>
      <c r="K51" s="112"/>
      <c r="L51" s="112"/>
      <c r="M51" s="117"/>
      <c r="N51" s="118"/>
    </row>
    <row r="52" spans="1:14" s="115" customFormat="1" ht="19.5" customHeight="1" x14ac:dyDescent="0.2">
      <c r="A52" s="137"/>
      <c r="B52" s="287" t="s">
        <v>260</v>
      </c>
      <c r="C52" s="62" t="s">
        <v>87</v>
      </c>
      <c r="E52" s="73"/>
      <c r="F52" s="378"/>
      <c r="G52" s="134"/>
      <c r="H52" s="93" t="s">
        <v>113</v>
      </c>
      <c r="I52" s="190"/>
      <c r="J52" s="259"/>
      <c r="K52" s="259"/>
      <c r="L52" s="262"/>
      <c r="M52" s="262">
        <v>3</v>
      </c>
      <c r="N52" s="121"/>
    </row>
    <row r="53" spans="1:14" s="115" customFormat="1" ht="17.5" customHeight="1" x14ac:dyDescent="0.2">
      <c r="A53" s="138"/>
      <c r="E53" s="73"/>
      <c r="F53" s="378"/>
      <c r="G53" s="252"/>
      <c r="H53" s="93" t="s">
        <v>115</v>
      </c>
      <c r="I53" s="190"/>
      <c r="J53" s="259"/>
      <c r="K53" s="259"/>
      <c r="L53" s="262">
        <v>1</v>
      </c>
      <c r="M53" s="262">
        <v>3</v>
      </c>
      <c r="N53" s="82"/>
    </row>
    <row r="54" spans="1:14" s="115" customFormat="1" ht="18.75" customHeight="1" x14ac:dyDescent="0.2">
      <c r="A54" s="138"/>
      <c r="B54" s="247"/>
      <c r="C54" s="73"/>
      <c r="D54" s="73"/>
      <c r="E54" s="315"/>
      <c r="F54" s="378"/>
      <c r="G54" s="252"/>
      <c r="H54" s="93" t="s">
        <v>117</v>
      </c>
      <c r="I54" s="190"/>
      <c r="J54" s="53"/>
      <c r="K54" s="53"/>
      <c r="L54" s="55">
        <v>2</v>
      </c>
      <c r="M54" s="55">
        <v>2</v>
      </c>
      <c r="N54" s="122"/>
    </row>
    <row r="55" spans="1:14" s="115" customFormat="1" ht="18.75" customHeight="1" x14ac:dyDescent="0.2">
      <c r="A55" s="138"/>
      <c r="B55" s="196"/>
      <c r="C55" s="73"/>
      <c r="D55" s="73"/>
      <c r="E55" s="73"/>
      <c r="F55" s="378"/>
      <c r="G55" s="134"/>
      <c r="H55" s="123"/>
      <c r="I55" s="123"/>
      <c r="J55" s="123"/>
      <c r="K55" s="123"/>
      <c r="L55" s="123"/>
      <c r="M55" s="123"/>
      <c r="N55" s="122"/>
    </row>
    <row r="56" spans="1:14" s="115" customFormat="1" ht="19.5" customHeight="1" x14ac:dyDescent="0.2">
      <c r="A56" s="138"/>
      <c r="B56" s="248"/>
      <c r="C56" s="70"/>
      <c r="D56" s="257"/>
      <c r="E56" s="199"/>
      <c r="F56" s="379"/>
      <c r="G56" s="134"/>
      <c r="H56" s="123"/>
      <c r="I56" s="123"/>
      <c r="J56" s="123"/>
      <c r="K56" s="123"/>
      <c r="L56" s="123"/>
      <c r="M56" s="123"/>
      <c r="N56" s="122"/>
    </row>
    <row r="57" spans="1:14" s="115" customFormat="1" ht="20.25" customHeight="1" x14ac:dyDescent="0.2">
      <c r="A57" s="138"/>
      <c r="B57" s="364" t="s">
        <v>120</v>
      </c>
      <c r="C57" s="365"/>
      <c r="D57" s="365"/>
      <c r="E57" s="365"/>
      <c r="F57" s="253"/>
      <c r="G57" s="134"/>
      <c r="H57" s="123"/>
      <c r="I57" s="123"/>
      <c r="J57" s="123"/>
      <c r="K57" s="123"/>
      <c r="L57" s="123"/>
      <c r="M57" s="123"/>
      <c r="N57" s="122"/>
    </row>
    <row r="58" spans="1:14" s="115" customFormat="1" ht="20.25" customHeight="1" x14ac:dyDescent="0.2">
      <c r="A58" s="138"/>
      <c r="B58" s="364" t="s">
        <v>121</v>
      </c>
      <c r="C58" s="365"/>
      <c r="D58" s="365"/>
      <c r="E58" s="365"/>
      <c r="F58" s="253"/>
      <c r="G58" s="252"/>
      <c r="H58" s="380" t="s">
        <v>122</v>
      </c>
      <c r="I58" s="382"/>
      <c r="J58" s="384" t="s">
        <v>23</v>
      </c>
      <c r="K58" s="386" t="s">
        <v>24</v>
      </c>
      <c r="L58" s="126"/>
      <c r="M58" s="126"/>
      <c r="N58" s="127"/>
    </row>
    <row r="59" spans="1:14" s="115" customFormat="1" ht="19.5" customHeight="1" x14ac:dyDescent="0.2">
      <c r="A59" s="138"/>
      <c r="B59" s="364" t="s">
        <v>123</v>
      </c>
      <c r="C59" s="365"/>
      <c r="D59" s="365"/>
      <c r="E59" s="365"/>
      <c r="F59" s="253"/>
      <c r="G59" s="134"/>
      <c r="H59" s="381"/>
      <c r="I59" s="383"/>
      <c r="J59" s="385"/>
      <c r="K59" s="387"/>
      <c r="L59" s="129"/>
      <c r="M59" s="129"/>
      <c r="N59" s="130"/>
    </row>
    <row r="60" spans="1:14" s="115" customFormat="1" ht="20.25" customHeight="1" x14ac:dyDescent="0.2">
      <c r="A60" s="138"/>
      <c r="B60" s="364" t="s">
        <v>124</v>
      </c>
      <c r="C60" s="365"/>
      <c r="D60" s="365"/>
      <c r="E60" s="365"/>
      <c r="F60" s="253"/>
      <c r="G60" s="253"/>
      <c r="H60" s="135" t="s">
        <v>125</v>
      </c>
      <c r="I60" s="62" t="s">
        <v>39</v>
      </c>
      <c r="J60" s="259"/>
      <c r="K60" s="259"/>
      <c r="L60" s="262"/>
      <c r="M60" s="262"/>
      <c r="N60" s="136"/>
    </row>
    <row r="61" spans="1:14" s="115" customFormat="1" ht="17.5" customHeight="1" x14ac:dyDescent="0.2">
      <c r="A61" s="138"/>
      <c r="B61" s="366" t="s">
        <v>126</v>
      </c>
      <c r="C61" s="366"/>
      <c r="D61" s="366"/>
      <c r="E61" s="366"/>
      <c r="F61" s="138"/>
      <c r="G61" s="253"/>
      <c r="H61" s="135" t="s">
        <v>127</v>
      </c>
      <c r="I61" s="190"/>
      <c r="J61" s="259"/>
      <c r="K61" s="259"/>
      <c r="L61" s="262"/>
      <c r="M61" s="262"/>
      <c r="N61" s="122"/>
    </row>
    <row r="62" spans="1:14" s="115" customFormat="1" ht="19.5" customHeight="1" x14ac:dyDescent="0.2">
      <c r="A62" s="138"/>
      <c r="B62" s="367" t="s">
        <v>128</v>
      </c>
      <c r="C62" s="368"/>
      <c r="D62" s="368"/>
      <c r="E62" s="368"/>
      <c r="F62" s="201"/>
      <c r="G62" s="253"/>
      <c r="H62" s="135" t="s">
        <v>129</v>
      </c>
      <c r="I62" s="190"/>
      <c r="J62" s="259"/>
      <c r="K62" s="259"/>
      <c r="L62" s="55"/>
      <c r="M62" s="55"/>
      <c r="N62" s="141"/>
    </row>
    <row r="63" spans="1:14" s="115" customFormat="1" ht="18.75" customHeight="1" x14ac:dyDescent="0.2">
      <c r="A63" s="138"/>
      <c r="B63" s="369"/>
      <c r="C63" s="370"/>
      <c r="D63" s="370"/>
      <c r="E63" s="370"/>
      <c r="F63" s="202"/>
      <c r="G63" s="253"/>
      <c r="H63" s="371" t="s">
        <v>130</v>
      </c>
      <c r="I63" s="143"/>
      <c r="J63" s="373" t="s">
        <v>23</v>
      </c>
      <c r="K63" s="375" t="s">
        <v>24</v>
      </c>
      <c r="L63" s="144"/>
      <c r="M63" s="145"/>
      <c r="N63" s="146"/>
    </row>
    <row r="64" spans="1:14" s="115" customFormat="1" ht="18" customHeight="1" x14ac:dyDescent="0.2">
      <c r="A64" s="9"/>
      <c r="B64" s="264" t="s">
        <v>131</v>
      </c>
      <c r="C64" s="203"/>
      <c r="D64" s="203"/>
      <c r="E64" s="203"/>
      <c r="F64" s="204"/>
      <c r="G64" s="253"/>
      <c r="H64" s="372"/>
      <c r="I64" s="143"/>
      <c r="J64" s="374"/>
      <c r="K64" s="376"/>
      <c r="L64" s="144"/>
      <c r="M64" s="147"/>
      <c r="N64" s="130"/>
    </row>
    <row r="65" spans="1:14" s="115" customFormat="1" ht="21" customHeight="1" x14ac:dyDescent="0.2">
      <c r="A65" s="140"/>
      <c r="B65" s="205" t="s">
        <v>132</v>
      </c>
      <c r="C65" s="203"/>
      <c r="D65" s="203"/>
      <c r="E65" s="203"/>
      <c r="F65" s="206"/>
      <c r="G65" s="253"/>
      <c r="H65" s="148" t="s">
        <v>133</v>
      </c>
      <c r="I65" s="314"/>
      <c r="J65" s="259"/>
      <c r="K65" s="259"/>
      <c r="L65" s="262"/>
      <c r="M65" s="262"/>
      <c r="N65" s="136"/>
    </row>
    <row r="66" spans="1:14" s="7" customFormat="1" ht="19.5" customHeight="1" x14ac:dyDescent="0.2">
      <c r="A66" s="9"/>
      <c r="B66" s="207" t="s">
        <v>134</v>
      </c>
      <c r="C66" s="208"/>
      <c r="D66" s="209"/>
      <c r="E66" s="209"/>
      <c r="F66" s="210"/>
      <c r="G66" s="253"/>
      <c r="H66" s="149" t="s">
        <v>135</v>
      </c>
      <c r="I66" s="124"/>
      <c r="J66" s="359"/>
      <c r="K66" s="359"/>
      <c r="L66" s="361"/>
      <c r="M66" s="361"/>
      <c r="N66" s="122"/>
    </row>
    <row r="67" spans="1:14" s="7" customFormat="1" ht="18.75" customHeight="1" x14ac:dyDescent="0.2">
      <c r="A67" s="9"/>
      <c r="B67" s="207" t="s">
        <v>136</v>
      </c>
      <c r="C67" s="209"/>
      <c r="D67" s="209"/>
      <c r="E67" s="209"/>
      <c r="F67" s="210"/>
      <c r="G67" s="253"/>
      <c r="H67" s="150" t="s">
        <v>137</v>
      </c>
      <c r="I67" s="189"/>
      <c r="J67" s="360"/>
      <c r="K67" s="360"/>
      <c r="L67" s="362"/>
      <c r="M67" s="362"/>
      <c r="N67" s="122"/>
    </row>
    <row r="68" spans="1:14" s="7" customFormat="1" ht="18.75" customHeight="1" x14ac:dyDescent="0.2">
      <c r="A68" s="9"/>
      <c r="B68" s="207" t="s">
        <v>138</v>
      </c>
      <c r="C68" s="209"/>
      <c r="D68" s="209"/>
      <c r="E68" s="209"/>
      <c r="F68" s="210"/>
      <c r="G68" s="253"/>
      <c r="H68" s="151"/>
      <c r="I68" s="136"/>
      <c r="J68" s="152"/>
      <c r="K68" s="153"/>
      <c r="L68" s="154"/>
      <c r="M68" s="154"/>
      <c r="N68" s="122"/>
    </row>
    <row r="69" spans="1:14" s="7" customFormat="1" ht="19.5" customHeight="1" x14ac:dyDescent="0.2">
      <c r="A69" s="9"/>
      <c r="B69" s="207" t="s">
        <v>139</v>
      </c>
      <c r="C69" s="203"/>
      <c r="D69" s="203"/>
      <c r="E69" s="203"/>
      <c r="F69" s="211"/>
      <c r="G69" s="253"/>
      <c r="H69" s="155"/>
      <c r="I69" s="141"/>
      <c r="J69" s="156"/>
      <c r="K69" s="157"/>
      <c r="L69" s="158"/>
      <c r="M69" s="158"/>
      <c r="N69" s="141"/>
    </row>
    <row r="70" spans="1:14" s="7" customFormat="1" ht="19" customHeight="1" x14ac:dyDescent="0.2">
      <c r="A70" s="9"/>
      <c r="B70" s="388" t="s">
        <v>140</v>
      </c>
      <c r="C70" s="389"/>
      <c r="D70" s="389"/>
      <c r="F70" s="211"/>
      <c r="G70" s="253"/>
      <c r="H70" s="390" t="s">
        <v>141</v>
      </c>
      <c r="I70" s="392" t="s">
        <v>142</v>
      </c>
      <c r="J70" s="394" t="s">
        <v>23</v>
      </c>
      <c r="K70" s="395" t="s">
        <v>24</v>
      </c>
      <c r="L70" s="363" t="s">
        <v>143</v>
      </c>
      <c r="M70" s="363" t="s">
        <v>144</v>
      </c>
      <c r="N70" s="363" t="s">
        <v>145</v>
      </c>
    </row>
    <row r="71" spans="1:14" s="7" customFormat="1" ht="20.25" customHeight="1" x14ac:dyDescent="0.2">
      <c r="A71" s="9"/>
      <c r="B71" s="207" t="s">
        <v>146</v>
      </c>
      <c r="C71" s="209"/>
      <c r="D71" s="209"/>
      <c r="E71" s="209"/>
      <c r="F71" s="211"/>
      <c r="G71" s="253"/>
      <c r="H71" s="391"/>
      <c r="I71" s="393"/>
      <c r="J71" s="374"/>
      <c r="K71" s="376"/>
      <c r="L71" s="362"/>
      <c r="M71" s="362"/>
      <c r="N71" s="362"/>
    </row>
    <row r="72" spans="1:14" s="7" customFormat="1" ht="18.75" customHeight="1" x14ac:dyDescent="0.2">
      <c r="A72" s="9"/>
      <c r="B72" s="212" t="s">
        <v>147</v>
      </c>
      <c r="C72" s="9"/>
      <c r="D72" s="9"/>
      <c r="E72" s="9"/>
      <c r="F72" s="213"/>
      <c r="G72" s="253"/>
      <c r="H72" s="159" t="s">
        <v>148</v>
      </c>
      <c r="I72" s="63" t="s">
        <v>46</v>
      </c>
      <c r="J72" s="259"/>
      <c r="K72" s="259"/>
      <c r="L72" s="160"/>
      <c r="M72" s="160"/>
      <c r="N72" s="161"/>
    </row>
    <row r="73" spans="1:14" s="7" customFormat="1" ht="20.25" customHeight="1" x14ac:dyDescent="0.2">
      <c r="A73" s="9"/>
      <c r="B73" s="207" t="s">
        <v>149</v>
      </c>
      <c r="C73" s="209"/>
      <c r="D73" s="209"/>
      <c r="E73" s="209"/>
      <c r="F73" s="211"/>
      <c r="G73" s="253"/>
      <c r="H73" s="159" t="s">
        <v>148</v>
      </c>
      <c r="I73" s="63" t="s">
        <v>85</v>
      </c>
      <c r="J73" s="259"/>
      <c r="K73" s="259"/>
      <c r="L73" s="160" t="s">
        <v>246</v>
      </c>
      <c r="M73" s="160"/>
      <c r="N73" s="162" t="s">
        <v>246</v>
      </c>
    </row>
    <row r="74" spans="1:14" s="7" customFormat="1" ht="19" customHeight="1" x14ac:dyDescent="0.2">
      <c r="A74" s="9"/>
      <c r="B74" s="212" t="s">
        <v>150</v>
      </c>
      <c r="C74" s="214"/>
      <c r="D74" s="214"/>
      <c r="E74" s="214"/>
      <c r="F74" s="211"/>
      <c r="G74" s="253"/>
      <c r="H74" s="159" t="s">
        <v>148</v>
      </c>
      <c r="I74" s="312"/>
      <c r="J74" s="259"/>
      <c r="K74" s="259"/>
      <c r="L74" s="160"/>
      <c r="M74" s="160"/>
      <c r="N74" s="162"/>
    </row>
    <row r="75" spans="1:14" s="7" customFormat="1" ht="19" customHeight="1" x14ac:dyDescent="0.2">
      <c r="A75" s="9"/>
      <c r="B75" s="207" t="s">
        <v>151</v>
      </c>
      <c r="C75" s="209"/>
      <c r="D75" s="209"/>
      <c r="E75" s="209"/>
      <c r="F75" s="211"/>
      <c r="G75" s="253"/>
      <c r="H75" s="159" t="s">
        <v>148</v>
      </c>
      <c r="I75" s="189"/>
      <c r="J75" s="259"/>
      <c r="K75" s="259"/>
      <c r="L75" s="160"/>
      <c r="M75" s="160"/>
      <c r="N75" s="162"/>
    </row>
    <row r="76" spans="1:14" s="7" customFormat="1" ht="18" customHeight="1" x14ac:dyDescent="0.2">
      <c r="A76" s="9"/>
      <c r="B76" s="215" t="s">
        <v>152</v>
      </c>
      <c r="C76" s="216"/>
      <c r="D76" s="216"/>
      <c r="E76" s="216"/>
      <c r="F76" s="211"/>
      <c r="G76" s="138"/>
      <c r="H76" s="77"/>
      <c r="I76" s="78"/>
      <c r="J76" s="79"/>
      <c r="K76" s="80"/>
      <c r="L76" s="77"/>
      <c r="M76" s="81"/>
      <c r="N76" s="49"/>
    </row>
    <row r="77" spans="1:14" s="7" customFormat="1" ht="17.25" customHeight="1" x14ac:dyDescent="0.2">
      <c r="A77" s="9"/>
      <c r="B77" s="217" t="s">
        <v>153</v>
      </c>
      <c r="C77" s="216"/>
      <c r="D77" s="216"/>
      <c r="E77" s="216"/>
      <c r="F77" s="211"/>
      <c r="G77" s="138"/>
      <c r="H77" s="77"/>
      <c r="I77" s="84"/>
      <c r="J77" s="79"/>
      <c r="K77" s="80"/>
      <c r="L77" s="77"/>
      <c r="M77" s="81"/>
      <c r="N77" s="49"/>
    </row>
    <row r="78" spans="1:14" s="7" customFormat="1" ht="18.75" customHeight="1" x14ac:dyDescent="0.2">
      <c r="A78" s="9"/>
      <c r="B78" s="218" t="s">
        <v>154</v>
      </c>
      <c r="F78" s="211"/>
      <c r="G78" s="163"/>
      <c r="H78" s="77"/>
      <c r="I78" s="78"/>
      <c r="J78" s="79"/>
      <c r="K78" s="80"/>
      <c r="L78" s="77"/>
      <c r="M78" s="81"/>
      <c r="N78" s="49"/>
    </row>
    <row r="79" spans="1:14" s="7" customFormat="1" ht="18.75" customHeight="1" x14ac:dyDescent="0.2">
      <c r="A79" s="9"/>
      <c r="B79" s="225" t="s">
        <v>155</v>
      </c>
      <c r="F79" s="211"/>
      <c r="G79" s="163"/>
      <c r="H79" s="77"/>
      <c r="I79" s="84"/>
      <c r="J79" s="79"/>
      <c r="K79" s="80"/>
      <c r="L79" s="77"/>
      <c r="M79" s="81"/>
      <c r="N79" s="49"/>
    </row>
    <row r="80" spans="1:14" s="7" customFormat="1" ht="17.25" customHeight="1" x14ac:dyDescent="0.2">
      <c r="A80" s="9"/>
      <c r="B80" s="207" t="s">
        <v>156</v>
      </c>
      <c r="C80" s="209"/>
      <c r="D80" s="209"/>
      <c r="E80" s="209"/>
      <c r="F80" s="219"/>
      <c r="G80" s="163"/>
      <c r="H80" s="77"/>
      <c r="I80" s="165"/>
      <c r="J80" s="79"/>
      <c r="K80" s="80"/>
      <c r="L80" s="77"/>
      <c r="M80" s="81"/>
      <c r="N80" s="49"/>
    </row>
    <row r="81" spans="1:14" s="7" customFormat="1" ht="19.5" customHeight="1" x14ac:dyDescent="0.2">
      <c r="A81" s="9"/>
      <c r="B81" s="220"/>
      <c r="C81" s="221"/>
      <c r="D81" s="221"/>
      <c r="E81" s="209"/>
      <c r="F81" s="219"/>
      <c r="G81" s="163"/>
      <c r="H81" s="166"/>
      <c r="I81" s="165"/>
      <c r="J81" s="167"/>
      <c r="K81" s="168"/>
      <c r="L81" s="169"/>
      <c r="M81" s="81"/>
      <c r="N81" s="13"/>
    </row>
    <row r="82" spans="1:14" s="7" customFormat="1" ht="17.25" customHeight="1" x14ac:dyDescent="0.2">
      <c r="A82" s="9"/>
      <c r="B82" s="222"/>
      <c r="C82" s="223"/>
      <c r="D82" s="223"/>
      <c r="E82" s="223"/>
      <c r="F82" s="224"/>
      <c r="G82" s="163"/>
      <c r="H82" s="346" t="s">
        <v>157</v>
      </c>
      <c r="I82" s="327"/>
      <c r="J82" s="348" t="s">
        <v>158</v>
      </c>
      <c r="K82" s="349"/>
      <c r="L82" s="350"/>
      <c r="M82" s="351">
        <v>30</v>
      </c>
      <c r="N82" s="352"/>
    </row>
    <row r="83" spans="1:14" s="7" customFormat="1" ht="18.75" customHeight="1" x14ac:dyDescent="0.2">
      <c r="A83" s="9"/>
      <c r="G83" s="163"/>
      <c r="H83" s="347"/>
      <c r="I83" s="329"/>
      <c r="J83" s="348" t="s">
        <v>159</v>
      </c>
      <c r="K83" s="349"/>
      <c r="L83" s="350"/>
      <c r="M83" s="321">
        <f>SUMIF(J9:J57,"A",L9:L57)+SUMIF(J9:J57,"A-",L9:L57)+SUMIF(J11:J57,"B+",L11:L57)+SUMIF(J11:J57,"B",L11:L57)+SUMIF(J11:J57,"B-",L11:L57)+SUMIF(J11:J57,"C+",L11:L57)+SUMIF(J11:J57,"C",L11:L57)+SUMIF(J11:J57,"C-",L11:L57)+SUMIF(J11:J57,"D+",L11:L57)+SUMIF(J11:J57,"D",L11:L57)+SUMIF(J11:J57,"D-",L11:L57)+SUMIF(J11:J57,"T",L11:L57)+SUMIF(J11:J57,"AP",L11:L57)+SUMIF(J11:J57,"IB",L11:L57)</f>
        <v>0</v>
      </c>
      <c r="N83" s="322"/>
    </row>
    <row r="84" spans="1:14" s="9" customFormat="1" ht="18" customHeight="1" x14ac:dyDescent="0.2">
      <c r="B84" s="7"/>
      <c r="C84" s="7"/>
      <c r="D84" s="7"/>
      <c r="E84" s="7"/>
      <c r="F84" s="7"/>
      <c r="G84" s="170"/>
      <c r="H84" s="346" t="s">
        <v>160</v>
      </c>
      <c r="I84" s="327"/>
      <c r="J84" s="348" t="s">
        <v>161</v>
      </c>
      <c r="K84" s="349"/>
      <c r="L84" s="350"/>
      <c r="M84" s="351">
        <v>68</v>
      </c>
      <c r="N84" s="352"/>
    </row>
    <row r="85" spans="1:14" s="7" customFormat="1" ht="18" customHeight="1" x14ac:dyDescent="0.2">
      <c r="A85" s="9"/>
      <c r="B85" s="353" t="s">
        <v>162</v>
      </c>
      <c r="C85" s="354"/>
      <c r="D85" s="171" t="s">
        <v>163</v>
      </c>
      <c r="E85" s="172"/>
      <c r="G85" s="163"/>
      <c r="H85" s="347"/>
      <c r="I85" s="329"/>
      <c r="J85" s="348" t="s">
        <v>159</v>
      </c>
      <c r="K85" s="349"/>
      <c r="L85" s="350"/>
      <c r="M85" s="321">
        <f>SUMIF(J11:J57,"A",M11:M57)+SUMIF(J11:J57,"A-",M11:M57)+SUMIF(J11:J57,"B+",M11:M57)+SUMIF(J11:J57,"B",M11:M57)+SUMIF(J11:J57,"B-",M11:M57)+SUMIF(J11:J57,"C+",M11:M57)+SUMIF(J11:J57,"C",M11:M57)+SUMIF(J11:J57,"C-",M11:M57)+SUMIF(J11:J57,"D+",M11:M57)+SUMIF(J11:J57,"D",M11:M57)+SUMIF(J11:J57,"D-",M11:M57)+SUMIF(J11:J57,"T",M11:M57)+SUMIF(J11:J57,"AP",M11:M57)+SUMIF(J11:J57,"IB",M11:M57)</f>
        <v>0</v>
      </c>
      <c r="N85" s="322"/>
    </row>
    <row r="86" spans="1:14" s="7" customFormat="1" ht="15" customHeight="1" x14ac:dyDescent="0.2">
      <c r="A86" s="9"/>
      <c r="B86" s="355"/>
      <c r="C86" s="356"/>
      <c r="D86" s="173" t="s">
        <v>164</v>
      </c>
      <c r="E86" s="174"/>
      <c r="G86" s="163"/>
      <c r="H86" s="346" t="s">
        <v>24</v>
      </c>
      <c r="I86" s="327"/>
      <c r="J86" s="348" t="s">
        <v>161</v>
      </c>
      <c r="K86" s="349"/>
      <c r="L86" s="350"/>
      <c r="M86" s="351">
        <v>135</v>
      </c>
      <c r="N86" s="352"/>
    </row>
    <row r="87" spans="1:14" s="7" customFormat="1" ht="15" x14ac:dyDescent="0.2">
      <c r="A87" s="2"/>
      <c r="B87" s="355"/>
      <c r="C87" s="356"/>
      <c r="D87" s="173" t="s">
        <v>165</v>
      </c>
      <c r="E87" s="175"/>
      <c r="F87" s="1"/>
      <c r="G87" s="163"/>
      <c r="H87" s="347"/>
      <c r="I87" s="329"/>
      <c r="J87" s="348" t="s">
        <v>159</v>
      </c>
      <c r="K87" s="349"/>
      <c r="L87" s="350"/>
      <c r="M87" s="321">
        <f>SUM(K11:K81)</f>
        <v>0</v>
      </c>
      <c r="N87" s="322"/>
    </row>
    <row r="88" spans="1:14" s="7" customFormat="1" ht="15" x14ac:dyDescent="0.2">
      <c r="A88" s="2"/>
      <c r="B88" s="355"/>
      <c r="C88" s="356"/>
      <c r="D88" s="176"/>
      <c r="E88" s="177"/>
      <c r="F88" s="1"/>
      <c r="G88" s="163"/>
      <c r="H88" s="6"/>
      <c r="J88" s="8"/>
      <c r="M88" s="9"/>
    </row>
    <row r="89" spans="1:14" s="7" customFormat="1" ht="15" customHeight="1" x14ac:dyDescent="0.2">
      <c r="A89" s="2"/>
      <c r="B89" s="355"/>
      <c r="C89" s="356"/>
      <c r="D89" s="176"/>
      <c r="E89" s="177"/>
      <c r="F89" s="1"/>
      <c r="G89" s="163"/>
      <c r="H89" s="323" t="s">
        <v>166</v>
      </c>
      <c r="I89" s="324"/>
      <c r="J89" s="325"/>
      <c r="K89" s="326"/>
      <c r="L89" s="326"/>
      <c r="M89" s="326"/>
      <c r="N89" s="327"/>
    </row>
    <row r="90" spans="1:14" s="7" customFormat="1" ht="15" x14ac:dyDescent="0.2">
      <c r="A90" s="2"/>
      <c r="B90" s="357"/>
      <c r="C90" s="358"/>
      <c r="D90" s="176"/>
      <c r="E90" s="177"/>
      <c r="F90" s="1"/>
      <c r="G90" s="163"/>
      <c r="H90" s="330" t="s">
        <v>167</v>
      </c>
      <c r="I90" s="331"/>
      <c r="J90" s="328"/>
      <c r="K90" s="328"/>
      <c r="L90" s="328"/>
      <c r="M90" s="328"/>
      <c r="N90" s="329"/>
    </row>
    <row r="91" spans="1:14" s="7" customFormat="1" ht="15" x14ac:dyDescent="0.2">
      <c r="A91" s="2"/>
      <c r="B91" s="337" t="s">
        <v>168</v>
      </c>
      <c r="C91" s="338"/>
      <c r="D91" s="338"/>
      <c r="E91" s="338"/>
      <c r="F91" s="1"/>
      <c r="G91" s="163"/>
      <c r="H91" s="330"/>
      <c r="I91" s="332"/>
      <c r="J91" s="339" t="s">
        <v>159</v>
      </c>
      <c r="K91" s="340"/>
      <c r="L91" s="340"/>
      <c r="M91" s="341">
        <f>SUMIF(J11:J81, "AP",K11:K81)+SUMIF(J11:J81,"IB",K11:K81)</f>
        <v>0</v>
      </c>
      <c r="N91" s="342"/>
    </row>
    <row r="92" spans="1:14" s="7" customFormat="1" ht="15" x14ac:dyDescent="0.2">
      <c r="A92" s="2"/>
      <c r="B92" s="338"/>
      <c r="C92" s="338"/>
      <c r="D92" s="338"/>
      <c r="E92" s="338"/>
      <c r="F92" s="1"/>
      <c r="G92" s="163"/>
      <c r="H92" s="333"/>
      <c r="I92" s="334"/>
      <c r="J92" s="339" t="s">
        <v>169</v>
      </c>
      <c r="K92" s="340"/>
      <c r="L92" s="340"/>
      <c r="M92" s="343">
        <v>32</v>
      </c>
      <c r="N92" s="344"/>
    </row>
    <row r="93" spans="1:14" s="7" customFormat="1" ht="15" x14ac:dyDescent="0.2">
      <c r="A93" s="2"/>
      <c r="B93" s="345" t="s">
        <v>170</v>
      </c>
      <c r="C93" s="345"/>
      <c r="D93" s="345"/>
      <c r="E93" s="345"/>
      <c r="F93" s="1"/>
      <c r="G93" s="163"/>
      <c r="H93" s="335"/>
      <c r="I93" s="336"/>
      <c r="J93" s="316" t="s">
        <v>171</v>
      </c>
      <c r="K93" s="317"/>
      <c r="L93" s="318"/>
      <c r="M93" s="319"/>
      <c r="N93" s="320"/>
    </row>
    <row r="94" spans="1:14" s="7" customFormat="1" ht="16" x14ac:dyDescent="0.2">
      <c r="A94" s="2"/>
      <c r="B94" s="290" t="s">
        <v>172</v>
      </c>
      <c r="C94" s="1"/>
      <c r="D94" s="1"/>
      <c r="E94" s="1"/>
      <c r="F94" s="1"/>
      <c r="G94" s="163"/>
      <c r="H94" s="6"/>
      <c r="J94" s="8"/>
      <c r="M94" s="9"/>
    </row>
    <row r="95" spans="1:14" s="7" customFormat="1" ht="32" x14ac:dyDescent="0.2">
      <c r="A95" s="2"/>
      <c r="B95" s="290" t="s">
        <v>173</v>
      </c>
      <c r="C95" s="1"/>
      <c r="D95" s="1"/>
      <c r="E95" s="1"/>
      <c r="F95" s="1"/>
      <c r="G95" s="163"/>
      <c r="H95" s="6"/>
      <c r="J95" s="8"/>
      <c r="M95" s="9"/>
    </row>
    <row r="96" spans="1:14" s="7" customFormat="1" ht="16" x14ac:dyDescent="0.2">
      <c r="A96" s="2"/>
      <c r="B96" s="290" t="s">
        <v>172</v>
      </c>
      <c r="C96" s="1"/>
      <c r="D96" s="1"/>
      <c r="E96" s="1"/>
      <c r="F96" s="1"/>
      <c r="G96" s="163"/>
      <c r="H96" s="6"/>
      <c r="J96" s="8"/>
      <c r="M96" s="9"/>
    </row>
    <row r="97" spans="1:14" s="7" customFormat="1" ht="128" x14ac:dyDescent="0.2">
      <c r="A97" s="2"/>
      <c r="B97" s="290" t="s">
        <v>174</v>
      </c>
      <c r="C97" s="290" t="s">
        <v>175</v>
      </c>
      <c r="D97" s="290" t="s">
        <v>176</v>
      </c>
      <c r="E97" s="290" t="s">
        <v>177</v>
      </c>
      <c r="F97" s="290" t="s">
        <v>178</v>
      </c>
      <c r="G97" s="163"/>
      <c r="H97" s="6"/>
      <c r="J97" s="8"/>
      <c r="M97" s="9"/>
    </row>
    <row r="98" spans="1:14" s="7" customFormat="1" ht="112" x14ac:dyDescent="0.2">
      <c r="A98" s="2"/>
      <c r="B98" s="290" t="s">
        <v>179</v>
      </c>
      <c r="C98" s="290" t="s">
        <v>180</v>
      </c>
      <c r="D98" s="290" t="s">
        <v>181</v>
      </c>
      <c r="E98" s="290" t="s">
        <v>182</v>
      </c>
      <c r="F98" s="290" t="s">
        <v>183</v>
      </c>
      <c r="G98" s="163"/>
      <c r="H98" s="6"/>
      <c r="J98" s="8"/>
      <c r="M98" s="9"/>
    </row>
    <row r="99" spans="1:14" x14ac:dyDescent="0.2">
      <c r="H99" s="6"/>
      <c r="I99" s="7"/>
      <c r="J99" s="8"/>
      <c r="K99" s="7"/>
      <c r="L99" s="7"/>
      <c r="M99" s="9"/>
      <c r="N99" s="7"/>
    </row>
    <row r="108" spans="1:14" ht="125.25" customHeight="1" x14ac:dyDescent="0.2"/>
    <row r="112" spans="1:14" ht="203.25" customHeight="1" x14ac:dyDescent="0.2"/>
    <row r="113" ht="176.25" customHeight="1" x14ac:dyDescent="0.2"/>
    <row r="114" hidden="1" x14ac:dyDescent="0.2"/>
    <row r="115" ht="29.25" customHeight="1" x14ac:dyDescent="0.2"/>
  </sheetData>
  <sheetProtection formatCells="0" formatColumns="0" formatRows="0" insertHyperlinks="0"/>
  <mergeCells count="109">
    <mergeCell ref="B1:D1"/>
    <mergeCell ref="H1:M1"/>
    <mergeCell ref="B2:C2"/>
    <mergeCell ref="D2:E3"/>
    <mergeCell ref="H2:M3"/>
    <mergeCell ref="N2:N8"/>
    <mergeCell ref="B3:C3"/>
    <mergeCell ref="B4:C4"/>
    <mergeCell ref="D4:E4"/>
    <mergeCell ref="H4:M5"/>
    <mergeCell ref="H9:H10"/>
    <mergeCell ref="I9:I10"/>
    <mergeCell ref="J9:J10"/>
    <mergeCell ref="K9:K10"/>
    <mergeCell ref="L9:L10"/>
    <mergeCell ref="M9:M10"/>
    <mergeCell ref="B5:C5"/>
    <mergeCell ref="D5:E6"/>
    <mergeCell ref="B6:C6"/>
    <mergeCell ref="H6:M7"/>
    <mergeCell ref="B7:C7"/>
    <mergeCell ref="D7:E8"/>
    <mergeCell ref="B8:C8"/>
    <mergeCell ref="H8:M8"/>
    <mergeCell ref="B9:D9"/>
    <mergeCell ref="B10:C10"/>
    <mergeCell ref="D10:E11"/>
    <mergeCell ref="B11:C11"/>
    <mergeCell ref="A11:A18"/>
    <mergeCell ref="J11:J12"/>
    <mergeCell ref="K11:K12"/>
    <mergeCell ref="L11:L12"/>
    <mergeCell ref="A21:A28"/>
    <mergeCell ref="H27:H28"/>
    <mergeCell ref="I27:I28"/>
    <mergeCell ref="B12:C12"/>
    <mergeCell ref="D12:E12"/>
    <mergeCell ref="B13:C13"/>
    <mergeCell ref="D13:E14"/>
    <mergeCell ref="B14:C14"/>
    <mergeCell ref="B15:C15"/>
    <mergeCell ref="D15:E16"/>
    <mergeCell ref="B16:C16"/>
    <mergeCell ref="F19:F26"/>
    <mergeCell ref="A41:A48"/>
    <mergeCell ref="H43:N43"/>
    <mergeCell ref="H46:N46"/>
    <mergeCell ref="J27:J28"/>
    <mergeCell ref="K27:K28"/>
    <mergeCell ref="L27:L28"/>
    <mergeCell ref="M27:M28"/>
    <mergeCell ref="A31:A38"/>
    <mergeCell ref="F39:F46"/>
    <mergeCell ref="H32:M32"/>
    <mergeCell ref="H38:M38"/>
    <mergeCell ref="F29:F36"/>
    <mergeCell ref="B60:E60"/>
    <mergeCell ref="B61:E61"/>
    <mergeCell ref="B62:E63"/>
    <mergeCell ref="H63:H64"/>
    <mergeCell ref="J63:J64"/>
    <mergeCell ref="K63:K64"/>
    <mergeCell ref="M70:M71"/>
    <mergeCell ref="N70:N71"/>
    <mergeCell ref="F49:F56"/>
    <mergeCell ref="B57:E57"/>
    <mergeCell ref="B58:E58"/>
    <mergeCell ref="H58:H59"/>
    <mergeCell ref="I58:I59"/>
    <mergeCell ref="J58:J59"/>
    <mergeCell ref="K58:K59"/>
    <mergeCell ref="B59:E59"/>
    <mergeCell ref="B70:D70"/>
    <mergeCell ref="H70:H71"/>
    <mergeCell ref="I70:I71"/>
    <mergeCell ref="J70:J71"/>
    <mergeCell ref="K70:K71"/>
    <mergeCell ref="H82:I83"/>
    <mergeCell ref="J82:L82"/>
    <mergeCell ref="M82:N82"/>
    <mergeCell ref="J83:L83"/>
    <mergeCell ref="M83:N83"/>
    <mergeCell ref="J66:J67"/>
    <mergeCell ref="K66:K67"/>
    <mergeCell ref="L66:L67"/>
    <mergeCell ref="M66:M67"/>
    <mergeCell ref="L70:L71"/>
    <mergeCell ref="H84:I85"/>
    <mergeCell ref="J84:L84"/>
    <mergeCell ref="M84:N84"/>
    <mergeCell ref="B85:C90"/>
    <mergeCell ref="J85:L85"/>
    <mergeCell ref="M85:N85"/>
    <mergeCell ref="H86:I87"/>
    <mergeCell ref="J86:L86"/>
    <mergeCell ref="M86:N86"/>
    <mergeCell ref="J87:L87"/>
    <mergeCell ref="J93:L93"/>
    <mergeCell ref="M93:N93"/>
    <mergeCell ref="M87:N87"/>
    <mergeCell ref="H89:I89"/>
    <mergeCell ref="J89:N90"/>
    <mergeCell ref="H90:I93"/>
    <mergeCell ref="B91:E92"/>
    <mergeCell ref="J91:L91"/>
    <mergeCell ref="M91:N91"/>
    <mergeCell ref="J92:L92"/>
    <mergeCell ref="M92:N92"/>
    <mergeCell ref="B93:E93"/>
  </mergeCells>
  <hyperlinks>
    <hyperlink ref="B4:C4" r:id="rId1" display="Please refer to the academic catalog for more detailed information on each course" xr:uid="{647F0F87-476D-4099-BB02-C81B91665AAF}"/>
    <hyperlink ref="B12:C12" r:id="rId2" display="Please refer to the academic catalog for more detailed information on each course" xr:uid="{69230047-5328-AC40-8BA1-0D90D528AB93}"/>
  </hyperlinks>
  <pageMargins left="0.45" right="0.45" top="0.5" bottom="0.5" header="0.3" footer="0.3"/>
  <pageSetup scale="43" orientation="portrait"/>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115"/>
  <sheetViews>
    <sheetView showGridLines="0" topLeftCell="A7" zoomScaleNormal="100" zoomScalePageLayoutView="84" workbookViewId="0">
      <selection activeCell="C11" sqref="C11"/>
    </sheetView>
  </sheetViews>
  <sheetFormatPr baseColWidth="10" defaultColWidth="9.1640625" defaultRowHeight="14" x14ac:dyDescent="0.2"/>
  <cols>
    <col min="1" max="1" width="3.6640625" style="2" customWidth="1"/>
    <col min="2" max="2" width="34.5" style="1" customWidth="1"/>
    <col min="3" max="3" width="35.1640625" style="1" customWidth="1"/>
    <col min="4" max="4" width="36.33203125" style="1" customWidth="1"/>
    <col min="5" max="5" width="35.33203125" style="1" customWidth="1"/>
    <col min="6" max="6" width="21.33203125" style="1" customWidth="1"/>
    <col min="7" max="7" width="1.5" style="5" customWidth="1"/>
    <col min="8" max="8" width="13" style="3" customWidth="1"/>
    <col min="9" max="9" width="33.5" style="1" customWidth="1"/>
    <col min="10" max="10" width="4.33203125" style="4" customWidth="1"/>
    <col min="11" max="11" width="4.6640625" style="1" customWidth="1"/>
    <col min="12" max="12" width="4.83203125" style="1" customWidth="1"/>
    <col min="13" max="13" width="4.5" style="2" customWidth="1"/>
    <col min="14" max="15" width="4.5" style="1" customWidth="1"/>
    <col min="16" max="16384" width="9.1640625" style="1"/>
  </cols>
  <sheetData>
    <row r="1" spans="1:14" s="7" customFormat="1" ht="47.5" customHeight="1" x14ac:dyDescent="0.45">
      <c r="A1" s="10"/>
      <c r="B1" s="457" t="s">
        <v>0</v>
      </c>
      <c r="C1" s="365"/>
      <c r="D1" s="458"/>
      <c r="E1" s="178" t="s">
        <v>1</v>
      </c>
      <c r="F1" s="11"/>
      <c r="G1" s="12"/>
      <c r="H1" s="465" t="s">
        <v>2</v>
      </c>
      <c r="I1" s="466"/>
      <c r="J1" s="466"/>
      <c r="K1" s="466"/>
      <c r="L1" s="466"/>
      <c r="M1" s="467"/>
      <c r="N1" s="13"/>
    </row>
    <row r="2" spans="1:14" s="7" customFormat="1" ht="25.5" customHeight="1" x14ac:dyDescent="0.25">
      <c r="B2" s="459" t="s">
        <v>184</v>
      </c>
      <c r="C2" s="460"/>
      <c r="D2" s="461" t="s">
        <v>4</v>
      </c>
      <c r="E2" s="462"/>
      <c r="F2" s="14"/>
      <c r="G2" s="12"/>
      <c r="H2" s="468" t="s">
        <v>5</v>
      </c>
      <c r="I2" s="469"/>
      <c r="J2" s="469"/>
      <c r="K2" s="469"/>
      <c r="L2" s="469"/>
      <c r="M2" s="470"/>
      <c r="N2" s="474"/>
    </row>
    <row r="3" spans="1:14" s="7" customFormat="1" ht="55.5" customHeight="1" x14ac:dyDescent="0.25">
      <c r="A3" s="9"/>
      <c r="B3" s="463" t="s">
        <v>6</v>
      </c>
      <c r="C3" s="464"/>
      <c r="D3" s="432"/>
      <c r="E3" s="429"/>
      <c r="F3" s="14"/>
      <c r="G3" s="12"/>
      <c r="H3" s="471"/>
      <c r="I3" s="472"/>
      <c r="J3" s="472"/>
      <c r="K3" s="472"/>
      <c r="L3" s="472"/>
      <c r="M3" s="473"/>
      <c r="N3" s="475"/>
    </row>
    <row r="4" spans="1:14" s="7" customFormat="1" ht="29.25" customHeight="1" x14ac:dyDescent="0.25">
      <c r="A4" s="258"/>
      <c r="B4" s="426" t="s">
        <v>7</v>
      </c>
      <c r="C4" s="427"/>
      <c r="D4" s="428" t="s">
        <v>8</v>
      </c>
      <c r="E4" s="429"/>
      <c r="F4" s="14"/>
      <c r="G4" s="12"/>
      <c r="H4" s="448" t="s">
        <v>9</v>
      </c>
      <c r="I4" s="449"/>
      <c r="J4" s="449"/>
      <c r="K4" s="449"/>
      <c r="L4" s="449"/>
      <c r="M4" s="450"/>
      <c r="N4" s="475"/>
    </row>
    <row r="5" spans="1:14" s="7" customFormat="1" ht="19" customHeight="1" x14ac:dyDescent="0.2">
      <c r="A5" s="9"/>
      <c r="B5" s="430" t="s">
        <v>10</v>
      </c>
      <c r="C5" s="431"/>
      <c r="D5" s="428" t="s">
        <v>11</v>
      </c>
      <c r="E5" s="429"/>
      <c r="F5" s="15"/>
      <c r="G5" s="16"/>
      <c r="H5" s="477"/>
      <c r="I5" s="478"/>
      <c r="J5" s="478"/>
      <c r="K5" s="478"/>
      <c r="L5" s="478"/>
      <c r="M5" s="434"/>
      <c r="N5" s="475"/>
    </row>
    <row r="6" spans="1:14" s="17" customFormat="1" ht="20.25" customHeight="1" x14ac:dyDescent="0.2">
      <c r="B6" s="430" t="s">
        <v>12</v>
      </c>
      <c r="C6" s="431"/>
      <c r="D6" s="432"/>
      <c r="E6" s="429"/>
      <c r="F6" s="18"/>
      <c r="G6" s="19"/>
      <c r="H6" s="448" t="s">
        <v>13</v>
      </c>
      <c r="I6" s="449"/>
      <c r="J6" s="449"/>
      <c r="K6" s="449"/>
      <c r="L6" s="449"/>
      <c r="M6" s="450"/>
      <c r="N6" s="475"/>
    </row>
    <row r="7" spans="1:14" s="9" customFormat="1" ht="19" customHeight="1" x14ac:dyDescent="0.2">
      <c r="B7" s="433" t="s">
        <v>14</v>
      </c>
      <c r="C7" s="431"/>
      <c r="D7" s="428" t="s">
        <v>15</v>
      </c>
      <c r="E7" s="434"/>
      <c r="F7" s="20"/>
      <c r="G7" s="21"/>
      <c r="H7" s="451"/>
      <c r="I7" s="452"/>
      <c r="J7" s="452"/>
      <c r="K7" s="452"/>
      <c r="L7" s="452"/>
      <c r="M7" s="453"/>
      <c r="N7" s="475"/>
    </row>
    <row r="8" spans="1:14" s="25" customFormat="1" ht="23.5" customHeight="1" x14ac:dyDescent="0.2">
      <c r="A8" s="22"/>
      <c r="B8" s="437" t="s">
        <v>16</v>
      </c>
      <c r="C8" s="438"/>
      <c r="D8" s="435"/>
      <c r="E8" s="436"/>
      <c r="F8" s="23"/>
      <c r="G8" s="24"/>
      <c r="H8" s="454" t="s">
        <v>17</v>
      </c>
      <c r="I8" s="455"/>
      <c r="J8" s="455"/>
      <c r="K8" s="455"/>
      <c r="L8" s="455"/>
      <c r="M8" s="456"/>
      <c r="N8" s="476"/>
    </row>
    <row r="9" spans="1:14" s="7" customFormat="1" ht="26.25" customHeight="1" x14ac:dyDescent="0.25">
      <c r="A9" s="26"/>
      <c r="B9" s="27" t="s">
        <v>18</v>
      </c>
      <c r="C9" s="28" t="s">
        <v>19</v>
      </c>
      <c r="D9" s="28" t="s">
        <v>20</v>
      </c>
      <c r="E9" s="28" t="s">
        <v>21</v>
      </c>
      <c r="F9" s="29"/>
      <c r="G9" s="30"/>
      <c r="H9" s="440" t="s">
        <v>22</v>
      </c>
      <c r="I9" s="442"/>
      <c r="J9" s="444" t="s">
        <v>23</v>
      </c>
      <c r="K9" s="446" t="s">
        <v>24</v>
      </c>
      <c r="L9" s="446" t="s">
        <v>25</v>
      </c>
      <c r="M9" s="446" t="s">
        <v>26</v>
      </c>
      <c r="N9" s="31"/>
    </row>
    <row r="10" spans="1:14" s="7" customFormat="1" ht="24" customHeight="1" x14ac:dyDescent="0.2">
      <c r="A10" s="32"/>
      <c r="B10" s="33" t="s">
        <v>27</v>
      </c>
      <c r="C10" s="33" t="s">
        <v>27</v>
      </c>
      <c r="D10" s="33" t="s">
        <v>27</v>
      </c>
      <c r="E10" s="34" t="s">
        <v>27</v>
      </c>
      <c r="F10" s="35"/>
      <c r="G10" s="36"/>
      <c r="H10" s="441"/>
      <c r="I10" s="443"/>
      <c r="J10" s="445"/>
      <c r="K10" s="447"/>
      <c r="L10" s="447"/>
      <c r="M10" s="447"/>
      <c r="N10" s="37"/>
    </row>
    <row r="11" spans="1:14" s="9" customFormat="1" ht="18.75" customHeight="1" x14ac:dyDescent="0.2">
      <c r="A11" s="413" t="s">
        <v>28</v>
      </c>
      <c r="B11" s="298" t="s">
        <v>29</v>
      </c>
      <c r="C11" s="39" t="s">
        <v>30</v>
      </c>
      <c r="D11" s="38" t="s">
        <v>31</v>
      </c>
      <c r="F11" s="439" t="s">
        <v>28</v>
      </c>
      <c r="G11" s="41"/>
      <c r="H11" s="42" t="s">
        <v>32</v>
      </c>
      <c r="I11" s="193"/>
      <c r="J11" s="416"/>
      <c r="K11" s="359"/>
      <c r="L11" s="419">
        <v>4</v>
      </c>
      <c r="M11" s="262"/>
      <c r="N11" s="43"/>
    </row>
    <row r="12" spans="1:14" s="9" customFormat="1" ht="20.25" customHeight="1" x14ac:dyDescent="0.2">
      <c r="A12" s="414"/>
      <c r="B12" s="44" t="s">
        <v>33</v>
      </c>
      <c r="C12" s="45" t="s">
        <v>34</v>
      </c>
      <c r="D12" s="267"/>
      <c r="F12" s="408"/>
      <c r="G12" s="41"/>
      <c r="H12" s="47" t="s">
        <v>35</v>
      </c>
      <c r="I12" s="194"/>
      <c r="J12" s="417"/>
      <c r="K12" s="418"/>
      <c r="L12" s="420"/>
      <c r="M12" s="48"/>
      <c r="N12" s="49"/>
    </row>
    <row r="13" spans="1:14" s="9" customFormat="1" ht="19.5" customHeight="1" x14ac:dyDescent="0.2">
      <c r="A13" s="414"/>
      <c r="B13" s="50" t="s">
        <v>36</v>
      </c>
      <c r="C13" s="45" t="s">
        <v>37</v>
      </c>
      <c r="D13" s="51"/>
      <c r="F13" s="408"/>
      <c r="G13" s="41"/>
      <c r="H13" s="52" t="s">
        <v>38</v>
      </c>
      <c r="I13" s="192"/>
      <c r="J13" s="53"/>
      <c r="K13" s="53"/>
      <c r="L13" s="54">
        <v>4</v>
      </c>
      <c r="M13" s="55"/>
      <c r="N13" s="56"/>
    </row>
    <row r="14" spans="1:14" s="9" customFormat="1" ht="20.25" customHeight="1" x14ac:dyDescent="0.2">
      <c r="A14" s="414"/>
      <c r="B14" s="62" t="s">
        <v>39</v>
      </c>
      <c r="C14" s="58" t="s">
        <v>40</v>
      </c>
      <c r="D14" s="51"/>
      <c r="F14" s="408"/>
      <c r="G14" s="41"/>
      <c r="H14" s="52" t="s">
        <v>41</v>
      </c>
      <c r="I14" s="192"/>
      <c r="J14" s="53"/>
      <c r="K14" s="53"/>
      <c r="L14" s="54">
        <v>1</v>
      </c>
      <c r="M14" s="55"/>
      <c r="N14" s="56"/>
    </row>
    <row r="15" spans="1:14" s="9" customFormat="1" ht="20.5" customHeight="1" x14ac:dyDescent="0.2">
      <c r="A15" s="414"/>
      <c r="B15" s="57" t="s">
        <v>42</v>
      </c>
      <c r="C15" s="60" t="s">
        <v>43</v>
      </c>
      <c r="D15" s="51"/>
      <c r="F15" s="408"/>
      <c r="G15" s="41"/>
      <c r="H15" s="52" t="s">
        <v>44</v>
      </c>
      <c r="I15" s="192"/>
      <c r="J15" s="53"/>
      <c r="K15" s="53"/>
      <c r="L15" s="54">
        <v>4</v>
      </c>
      <c r="M15" s="55"/>
      <c r="N15" s="56"/>
    </row>
    <row r="16" spans="1:14" s="9" customFormat="1" ht="18.75" customHeight="1" x14ac:dyDescent="0.2">
      <c r="A16" s="407"/>
      <c r="B16" s="59" t="s">
        <v>45</v>
      </c>
      <c r="C16" s="63" t="s">
        <v>46</v>
      </c>
      <c r="D16" s="51"/>
      <c r="F16" s="408"/>
      <c r="G16" s="41"/>
      <c r="H16" s="52" t="s">
        <v>47</v>
      </c>
      <c r="I16" s="192"/>
      <c r="J16" s="53"/>
      <c r="K16" s="53"/>
      <c r="L16" s="54">
        <v>4</v>
      </c>
      <c r="M16" s="55"/>
      <c r="N16" s="56"/>
    </row>
    <row r="17" spans="1:14" s="9" customFormat="1" ht="18.75" customHeight="1" x14ac:dyDescent="0.2">
      <c r="A17" s="407"/>
      <c r="B17" s="66"/>
      <c r="C17" s="67"/>
      <c r="D17" s="51"/>
      <c r="E17" s="64"/>
      <c r="F17" s="408"/>
      <c r="G17" s="41"/>
      <c r="H17" s="52" t="s">
        <v>48</v>
      </c>
      <c r="I17" s="192"/>
      <c r="J17" s="53"/>
      <c r="K17" s="61"/>
      <c r="L17" s="260">
        <v>4</v>
      </c>
      <c r="M17" s="262"/>
      <c r="N17" s="56"/>
    </row>
    <row r="18" spans="1:14" s="7" customFormat="1" ht="21.75" customHeight="1" x14ac:dyDescent="0.2">
      <c r="A18" s="415"/>
      <c r="B18" s="68"/>
      <c r="C18" s="69"/>
      <c r="D18" s="70"/>
      <c r="F18" s="412"/>
      <c r="G18" s="41"/>
      <c r="H18" s="52" t="s">
        <v>49</v>
      </c>
      <c r="I18" s="192"/>
      <c r="J18" s="65"/>
      <c r="K18" s="65"/>
      <c r="L18" s="54">
        <v>4</v>
      </c>
      <c r="M18" s="55"/>
      <c r="N18" s="56"/>
    </row>
    <row r="19" spans="1:14" s="73" customFormat="1" ht="18.75" customHeight="1" x14ac:dyDescent="0.25">
      <c r="A19" s="71"/>
      <c r="B19" s="27" t="s">
        <v>50</v>
      </c>
      <c r="C19" s="28" t="s">
        <v>19</v>
      </c>
      <c r="D19" s="28" t="s">
        <v>20</v>
      </c>
      <c r="E19" s="28" t="s">
        <v>21</v>
      </c>
      <c r="F19" s="29"/>
      <c r="G19" s="30"/>
      <c r="H19" s="52" t="s">
        <v>51</v>
      </c>
      <c r="I19" s="72"/>
      <c r="J19" s="53"/>
      <c r="K19" s="53"/>
      <c r="L19" s="54">
        <v>3</v>
      </c>
      <c r="M19" s="55"/>
      <c r="N19" s="56"/>
    </row>
    <row r="20" spans="1:14" s="73" customFormat="1" ht="21.75" customHeight="1" x14ac:dyDescent="0.2">
      <c r="A20" s="74"/>
      <c r="B20" s="33" t="s">
        <v>27</v>
      </c>
      <c r="C20" s="33" t="s">
        <v>27</v>
      </c>
      <c r="D20" s="34" t="s">
        <v>27</v>
      </c>
      <c r="E20" s="34" t="s">
        <v>27</v>
      </c>
      <c r="F20" s="35"/>
      <c r="G20" s="36"/>
      <c r="H20" s="52" t="s">
        <v>52</v>
      </c>
      <c r="I20" s="72"/>
      <c r="J20" s="53"/>
      <c r="K20" s="53"/>
      <c r="L20" s="54">
        <v>1</v>
      </c>
      <c r="M20" s="55"/>
      <c r="N20" s="56"/>
    </row>
    <row r="21" spans="1:14" s="73" customFormat="1" ht="19.5" customHeight="1" x14ac:dyDescent="0.2">
      <c r="A21" s="406" t="s">
        <v>53</v>
      </c>
      <c r="B21" s="39" t="s">
        <v>54</v>
      </c>
      <c r="C21" s="38" t="s">
        <v>71</v>
      </c>
      <c r="E21" s="483" t="s">
        <v>55</v>
      </c>
      <c r="F21" s="377" t="s">
        <v>53</v>
      </c>
      <c r="G21" s="75"/>
      <c r="H21" s="52" t="s">
        <v>56</v>
      </c>
      <c r="I21" s="72"/>
      <c r="J21" s="53"/>
      <c r="K21" s="53"/>
      <c r="L21" s="54">
        <v>1</v>
      </c>
      <c r="M21" s="55"/>
      <c r="N21" s="49"/>
    </row>
    <row r="22" spans="1:14" s="73" customFormat="1" ht="21" customHeight="1" x14ac:dyDescent="0.2">
      <c r="A22" s="407"/>
      <c r="B22" s="45" t="s">
        <v>57</v>
      </c>
      <c r="C22" s="38" t="s">
        <v>75</v>
      </c>
      <c r="E22" s="484"/>
      <c r="F22" s="408"/>
      <c r="G22" s="41"/>
      <c r="H22" s="52" t="s">
        <v>58</v>
      </c>
      <c r="I22" s="72"/>
      <c r="J22" s="191"/>
      <c r="K22" s="180"/>
      <c r="L22" s="54">
        <v>3</v>
      </c>
      <c r="M22" s="55"/>
      <c r="N22" s="82"/>
    </row>
    <row r="23" spans="1:14" s="73" customFormat="1" ht="32.25" customHeight="1" x14ac:dyDescent="0.2">
      <c r="A23" s="414"/>
      <c r="B23" s="45" t="s">
        <v>59</v>
      </c>
      <c r="C23" s="184" t="s">
        <v>64</v>
      </c>
      <c r="E23" s="484"/>
      <c r="F23" s="408"/>
      <c r="G23" s="41"/>
      <c r="H23" s="52" t="s">
        <v>60</v>
      </c>
      <c r="I23" s="72"/>
      <c r="J23" s="179"/>
      <c r="K23" s="179"/>
      <c r="L23" s="54">
        <v>1</v>
      </c>
      <c r="M23" s="55"/>
      <c r="N23" s="82"/>
    </row>
    <row r="24" spans="1:14" s="73" customFormat="1" ht="23.25" customHeight="1" x14ac:dyDescent="0.2">
      <c r="A24" s="414"/>
      <c r="B24" s="58" t="s">
        <v>61</v>
      </c>
      <c r="C24" s="184" t="s">
        <v>72</v>
      </c>
      <c r="E24" s="484"/>
      <c r="F24" s="408"/>
      <c r="G24" s="85"/>
      <c r="H24" s="52" t="s">
        <v>62</v>
      </c>
      <c r="I24" s="72"/>
      <c r="J24" s="179"/>
      <c r="K24" s="164"/>
      <c r="L24" s="54">
        <v>1</v>
      </c>
      <c r="M24" s="181"/>
      <c r="N24" s="82"/>
    </row>
    <row r="25" spans="1:14" s="73" customFormat="1" ht="40.5" customHeight="1" x14ac:dyDescent="0.2">
      <c r="A25" s="407"/>
      <c r="B25" s="184" t="s">
        <v>64</v>
      </c>
      <c r="C25" s="63" t="s">
        <v>85</v>
      </c>
      <c r="E25" s="484"/>
      <c r="F25" s="408"/>
      <c r="G25" s="85"/>
      <c r="H25" s="77"/>
      <c r="I25" s="84"/>
      <c r="J25" s="79"/>
      <c r="K25" s="80"/>
      <c r="L25" s="77"/>
      <c r="M25" s="81"/>
      <c r="N25" s="82"/>
    </row>
    <row r="26" spans="1:14" s="73" customFormat="1" ht="32.25" customHeight="1" x14ac:dyDescent="0.2">
      <c r="A26" s="407"/>
      <c r="B26" s="184" t="s">
        <v>185</v>
      </c>
      <c r="C26" s="62" t="s">
        <v>65</v>
      </c>
      <c r="E26" s="485"/>
      <c r="F26" s="408"/>
      <c r="G26" s="41"/>
      <c r="H26" s="77"/>
      <c r="I26" s="84"/>
      <c r="J26" s="79"/>
      <c r="K26" s="80"/>
      <c r="L26" s="77"/>
      <c r="M26" s="81"/>
      <c r="N26" s="86"/>
    </row>
    <row r="27" spans="1:14" s="7" customFormat="1" ht="19" customHeight="1" x14ac:dyDescent="0.2">
      <c r="A27" s="407"/>
      <c r="C27" s="83"/>
      <c r="E27" s="200"/>
      <c r="F27" s="408"/>
      <c r="G27" s="41"/>
      <c r="H27" s="422" t="s">
        <v>66</v>
      </c>
      <c r="I27" s="424"/>
      <c r="J27" s="402" t="s">
        <v>23</v>
      </c>
      <c r="K27" s="404" t="s">
        <v>24</v>
      </c>
      <c r="L27" s="404" t="s">
        <v>25</v>
      </c>
      <c r="M27" s="404" t="s">
        <v>26</v>
      </c>
      <c r="N27" s="87"/>
    </row>
    <row r="28" spans="1:14" s="73" customFormat="1" ht="18" customHeight="1" x14ac:dyDescent="0.2">
      <c r="A28" s="415"/>
      <c r="B28" s="88"/>
      <c r="C28" s="70"/>
      <c r="E28" s="263"/>
      <c r="F28" s="412"/>
      <c r="G28" s="41"/>
      <c r="H28" s="423"/>
      <c r="I28" s="425"/>
      <c r="J28" s="403"/>
      <c r="K28" s="405"/>
      <c r="L28" s="405"/>
      <c r="M28" s="405"/>
      <c r="N28" s="89"/>
    </row>
    <row r="29" spans="1:14" s="73" customFormat="1" ht="17.25" customHeight="1" x14ac:dyDescent="0.25">
      <c r="A29" s="90"/>
      <c r="B29" s="27" t="s">
        <v>50</v>
      </c>
      <c r="C29" s="28" t="s">
        <v>19</v>
      </c>
      <c r="D29" s="28" t="s">
        <v>20</v>
      </c>
      <c r="E29" s="28" t="s">
        <v>21</v>
      </c>
      <c r="F29" s="29"/>
      <c r="G29" s="30"/>
      <c r="H29" s="274" t="s">
        <v>67</v>
      </c>
      <c r="I29" s="271"/>
      <c r="J29" s="272"/>
      <c r="K29" s="273"/>
      <c r="L29" s="183"/>
      <c r="M29" s="183">
        <v>4</v>
      </c>
      <c r="N29" s="87"/>
    </row>
    <row r="30" spans="1:14" s="73" customFormat="1" ht="20.25" customHeight="1" x14ac:dyDescent="0.2">
      <c r="A30" s="32"/>
      <c r="B30" s="33" t="s">
        <v>27</v>
      </c>
      <c r="C30" s="33" t="s">
        <v>27</v>
      </c>
      <c r="D30" s="33" t="s">
        <v>27</v>
      </c>
      <c r="E30" s="92" t="s">
        <v>68</v>
      </c>
      <c r="F30" s="35"/>
      <c r="G30" s="36"/>
      <c r="H30" s="91" t="s">
        <v>69</v>
      </c>
      <c r="I30" s="72"/>
      <c r="J30" s="182"/>
      <c r="K30" s="182"/>
      <c r="L30" s="183"/>
      <c r="M30" s="183">
        <v>5</v>
      </c>
      <c r="N30" s="76"/>
    </row>
    <row r="31" spans="1:14" s="73" customFormat="1" ht="18" customHeight="1" x14ac:dyDescent="0.2">
      <c r="A31" s="406" t="s">
        <v>70</v>
      </c>
      <c r="B31" s="486" t="s">
        <v>55</v>
      </c>
      <c r="C31" s="184" t="s">
        <v>76</v>
      </c>
      <c r="D31" s="184" t="s">
        <v>73</v>
      </c>
      <c r="E31" s="493"/>
      <c r="F31" s="377" t="s">
        <v>70</v>
      </c>
      <c r="G31" s="95"/>
      <c r="H31" s="93" t="s">
        <v>74</v>
      </c>
      <c r="I31" s="72"/>
      <c r="J31" s="94"/>
      <c r="K31" s="94"/>
      <c r="L31" s="55"/>
      <c r="M31" s="55">
        <v>4</v>
      </c>
      <c r="N31" s="82"/>
    </row>
    <row r="32" spans="1:14" s="73" customFormat="1" ht="18" customHeight="1" x14ac:dyDescent="0.2">
      <c r="A32" s="407"/>
      <c r="B32" s="460"/>
      <c r="C32" s="184" t="s">
        <v>76</v>
      </c>
      <c r="D32" s="289" t="s">
        <v>77</v>
      </c>
      <c r="E32" s="494"/>
      <c r="F32" s="408"/>
      <c r="G32" s="96"/>
      <c r="H32" s="409" t="s">
        <v>78</v>
      </c>
      <c r="I32" s="410"/>
      <c r="J32" s="410"/>
      <c r="K32" s="410"/>
      <c r="L32" s="410"/>
      <c r="M32" s="411"/>
      <c r="N32" s="82"/>
    </row>
    <row r="33" spans="1:14" s="73" customFormat="1" ht="18" customHeight="1" x14ac:dyDescent="0.2">
      <c r="A33" s="407"/>
      <c r="B33" s="460"/>
      <c r="C33" s="184" t="s">
        <v>79</v>
      </c>
      <c r="D33" s="268" t="s">
        <v>80</v>
      </c>
      <c r="E33" s="494"/>
      <c r="F33" s="408"/>
      <c r="G33" s="96"/>
      <c r="H33" s="93" t="s">
        <v>81</v>
      </c>
      <c r="I33" s="72"/>
      <c r="J33" s="61"/>
      <c r="K33" s="61"/>
      <c r="L33" s="55"/>
      <c r="M33" s="55">
        <v>4</v>
      </c>
      <c r="N33" s="49"/>
    </row>
    <row r="34" spans="1:14" s="73" customFormat="1" ht="18" customHeight="1" x14ac:dyDescent="0.2">
      <c r="A34" s="407"/>
      <c r="B34" s="460"/>
      <c r="C34" s="63" t="s">
        <v>82</v>
      </c>
      <c r="D34" s="269" t="s">
        <v>83</v>
      </c>
      <c r="E34" s="494"/>
      <c r="F34" s="408"/>
      <c r="G34" s="98"/>
      <c r="H34" s="93" t="s">
        <v>84</v>
      </c>
      <c r="I34" s="72"/>
      <c r="J34" s="61"/>
      <c r="K34" s="61"/>
      <c r="L34" s="55"/>
      <c r="M34" s="55">
        <v>1</v>
      </c>
      <c r="N34" s="82"/>
    </row>
    <row r="35" spans="1:14" s="7" customFormat="1" ht="17.5" customHeight="1" x14ac:dyDescent="0.2">
      <c r="A35" s="407"/>
      <c r="B35" s="460"/>
      <c r="C35" s="62" t="s">
        <v>87</v>
      </c>
      <c r="E35" s="494"/>
      <c r="F35" s="408"/>
      <c r="G35" s="95"/>
      <c r="H35" s="99" t="s">
        <v>86</v>
      </c>
      <c r="I35" s="72"/>
      <c r="J35" s="94"/>
      <c r="K35" s="94"/>
      <c r="L35" s="55"/>
      <c r="M35" s="55">
        <v>4</v>
      </c>
      <c r="N35" s="82"/>
    </row>
    <row r="36" spans="1:14" s="73" customFormat="1" ht="18" customHeight="1" x14ac:dyDescent="0.2">
      <c r="A36" s="407"/>
      <c r="B36" s="329"/>
      <c r="C36" s="97"/>
      <c r="E36" s="494"/>
      <c r="F36" s="408"/>
      <c r="G36" s="41"/>
      <c r="H36" s="91" t="s">
        <v>88</v>
      </c>
      <c r="I36" s="187"/>
      <c r="J36" s="61"/>
      <c r="K36" s="61"/>
      <c r="L36" s="100"/>
      <c r="M36" s="54">
        <v>4</v>
      </c>
      <c r="N36" s="82"/>
    </row>
    <row r="37" spans="1:14" s="73" customFormat="1" ht="18" customHeight="1" x14ac:dyDescent="0.2">
      <c r="A37" s="407"/>
      <c r="B37" s="104"/>
      <c r="C37" s="97"/>
      <c r="D37" s="270"/>
      <c r="E37" s="246"/>
      <c r="F37" s="408"/>
      <c r="G37" s="41"/>
      <c r="H37" s="101" t="s">
        <v>89</v>
      </c>
      <c r="I37" s="185"/>
      <c r="J37" s="94"/>
      <c r="K37" s="102"/>
      <c r="L37" s="103"/>
      <c r="M37" s="186">
        <v>1</v>
      </c>
      <c r="N37" s="82"/>
    </row>
    <row r="38" spans="1:14" s="73" customFormat="1" ht="18" customHeight="1" x14ac:dyDescent="0.2">
      <c r="A38" s="407"/>
      <c r="B38" s="254"/>
      <c r="C38" s="70"/>
      <c r="D38" s="125"/>
      <c r="E38" s="108"/>
      <c r="F38" s="408"/>
      <c r="G38" s="41"/>
      <c r="H38" s="409" t="s">
        <v>90</v>
      </c>
      <c r="I38" s="410"/>
      <c r="J38" s="410"/>
      <c r="K38" s="410"/>
      <c r="L38" s="410"/>
      <c r="M38" s="411"/>
      <c r="N38" s="82"/>
    </row>
    <row r="39" spans="1:14" s="73" customFormat="1" ht="17.25" customHeight="1" x14ac:dyDescent="0.25">
      <c r="A39" s="255"/>
      <c r="B39" s="27" t="s">
        <v>50</v>
      </c>
      <c r="C39" s="28" t="s">
        <v>19</v>
      </c>
      <c r="D39" s="28" t="s">
        <v>20</v>
      </c>
      <c r="E39" s="28" t="s">
        <v>21</v>
      </c>
      <c r="F39" s="29"/>
      <c r="G39" s="30"/>
      <c r="H39" s="93" t="s">
        <v>91</v>
      </c>
      <c r="I39" s="72"/>
      <c r="J39" s="61"/>
      <c r="K39" s="61"/>
      <c r="L39" s="55"/>
      <c r="M39" s="55">
        <v>4</v>
      </c>
      <c r="N39" s="82"/>
    </row>
    <row r="40" spans="1:14" s="73" customFormat="1" ht="24" customHeight="1" x14ac:dyDescent="0.2">
      <c r="A40" s="256"/>
      <c r="B40" s="109" t="s">
        <v>92</v>
      </c>
      <c r="C40" s="33" t="s">
        <v>27</v>
      </c>
      <c r="D40" s="33" t="s">
        <v>92</v>
      </c>
      <c r="E40" s="34" t="s">
        <v>27</v>
      </c>
      <c r="F40" s="35"/>
      <c r="G40" s="36"/>
      <c r="H40" s="93" t="s">
        <v>93</v>
      </c>
      <c r="I40" s="72"/>
      <c r="J40" s="61"/>
      <c r="K40" s="61"/>
      <c r="L40" s="55"/>
      <c r="M40" s="55">
        <v>1</v>
      </c>
      <c r="N40" s="82"/>
    </row>
    <row r="41" spans="1:14" s="73" customFormat="1" ht="18" customHeight="1" x14ac:dyDescent="0.2">
      <c r="A41" s="396" t="s">
        <v>94</v>
      </c>
      <c r="B41" s="93" t="s">
        <v>98</v>
      </c>
      <c r="C41" s="184" t="s">
        <v>95</v>
      </c>
      <c r="E41" s="493"/>
      <c r="F41" s="377" t="s">
        <v>94</v>
      </c>
      <c r="G41" s="95"/>
      <c r="H41" s="93" t="s">
        <v>97</v>
      </c>
      <c r="I41" s="72"/>
      <c r="J41" s="61"/>
      <c r="K41" s="61"/>
      <c r="L41" s="55"/>
      <c r="M41" s="55">
        <v>4</v>
      </c>
      <c r="N41" s="49"/>
    </row>
    <row r="42" spans="1:14" s="73" customFormat="1" ht="18" customHeight="1" x14ac:dyDescent="0.2">
      <c r="A42" s="397"/>
      <c r="B42" s="93" t="s">
        <v>79</v>
      </c>
      <c r="C42" s="184" t="s">
        <v>99</v>
      </c>
      <c r="E42" s="494"/>
      <c r="F42" s="408"/>
      <c r="G42" s="110"/>
      <c r="H42" s="93" t="s">
        <v>100</v>
      </c>
      <c r="I42" s="72"/>
      <c r="J42" s="61"/>
      <c r="K42" s="61"/>
      <c r="L42" s="55"/>
      <c r="M42" s="55">
        <v>4</v>
      </c>
      <c r="N42" s="82"/>
    </row>
    <row r="43" spans="1:14" s="7" customFormat="1" ht="18" customHeight="1" x14ac:dyDescent="0.2">
      <c r="A43" s="397"/>
      <c r="B43" s="93" t="s">
        <v>79</v>
      </c>
      <c r="C43" s="184" t="s">
        <v>101</v>
      </c>
      <c r="E43" s="494"/>
      <c r="F43" s="408"/>
      <c r="G43" s="111"/>
      <c r="H43" s="399" t="s">
        <v>102</v>
      </c>
      <c r="I43" s="400"/>
      <c r="J43" s="400"/>
      <c r="K43" s="400"/>
      <c r="L43" s="400"/>
      <c r="M43" s="400"/>
      <c r="N43" s="401"/>
    </row>
    <row r="44" spans="1:14" s="73" customFormat="1" ht="18" customHeight="1" x14ac:dyDescent="0.2">
      <c r="A44" s="397"/>
      <c r="B44" s="287" t="s">
        <v>96</v>
      </c>
      <c r="C44" s="63" t="s">
        <v>103</v>
      </c>
      <c r="E44" s="494"/>
      <c r="F44" s="408"/>
      <c r="G44" s="111"/>
      <c r="H44" s="93" t="s">
        <v>104</v>
      </c>
      <c r="I44" s="187"/>
      <c r="J44" s="259"/>
      <c r="K44" s="259"/>
      <c r="L44" s="262"/>
      <c r="M44" s="262">
        <v>1</v>
      </c>
      <c r="N44" s="86"/>
    </row>
    <row r="45" spans="1:14" s="73" customFormat="1" ht="19.5" customHeight="1" x14ac:dyDescent="0.2">
      <c r="A45" s="397"/>
      <c r="C45" s="97"/>
      <c r="E45" s="494"/>
      <c r="F45" s="408"/>
      <c r="G45" s="41"/>
      <c r="H45" s="93" t="s">
        <v>105</v>
      </c>
      <c r="I45" s="72"/>
      <c r="J45" s="259"/>
      <c r="K45" s="259"/>
      <c r="L45" s="262"/>
      <c r="M45" s="262">
        <v>4</v>
      </c>
      <c r="N45" s="113"/>
    </row>
    <row r="46" spans="1:14" s="73" customFormat="1" ht="19.5" customHeight="1" x14ac:dyDescent="0.2">
      <c r="A46" s="397"/>
      <c r="B46" s="247"/>
      <c r="C46" s="97"/>
      <c r="E46" s="494"/>
      <c r="F46" s="408"/>
      <c r="G46" s="41"/>
      <c r="H46" s="399" t="s">
        <v>106</v>
      </c>
      <c r="I46" s="400"/>
      <c r="J46" s="400"/>
      <c r="K46" s="400"/>
      <c r="L46" s="400"/>
      <c r="M46" s="400"/>
      <c r="N46" s="401"/>
    </row>
    <row r="47" spans="1:14" s="73" customFormat="1" ht="18" customHeight="1" x14ac:dyDescent="0.2">
      <c r="A47" s="397"/>
      <c r="B47" s="196"/>
      <c r="C47" s="97"/>
      <c r="E47" s="246"/>
      <c r="F47" s="408"/>
      <c r="G47" s="41"/>
      <c r="H47" s="93" t="s">
        <v>107</v>
      </c>
      <c r="I47" s="72"/>
      <c r="J47" s="259"/>
      <c r="K47" s="259"/>
      <c r="L47" s="262"/>
      <c r="M47" s="262">
        <v>4</v>
      </c>
      <c r="N47" s="76"/>
    </row>
    <row r="48" spans="1:14" s="115" customFormat="1" ht="18.75" customHeight="1" x14ac:dyDescent="0.2">
      <c r="A48" s="398"/>
      <c r="B48" s="248"/>
      <c r="C48" s="70"/>
      <c r="D48" s="257"/>
      <c r="E48" s="199"/>
      <c r="F48" s="495"/>
      <c r="G48" s="41"/>
      <c r="H48" s="93" t="s">
        <v>107</v>
      </c>
      <c r="I48" s="72"/>
      <c r="J48" s="259"/>
      <c r="K48" s="259"/>
      <c r="L48" s="262"/>
      <c r="M48" s="262">
        <v>4</v>
      </c>
      <c r="N48" s="76"/>
    </row>
    <row r="49" spans="1:14" s="115" customFormat="1" ht="16.5" customHeight="1" x14ac:dyDescent="0.25">
      <c r="A49" s="138"/>
      <c r="B49" s="488" t="s">
        <v>108</v>
      </c>
      <c r="C49" s="498"/>
      <c r="D49" s="140"/>
      <c r="E49" s="140"/>
      <c r="F49" s="253"/>
      <c r="G49" s="249"/>
      <c r="H49" s="93" t="s">
        <v>107</v>
      </c>
      <c r="I49" s="190"/>
      <c r="J49" s="259"/>
      <c r="K49" s="259"/>
      <c r="L49" s="262"/>
      <c r="M49" s="262">
        <v>4</v>
      </c>
      <c r="N49" s="82"/>
    </row>
    <row r="50" spans="1:14" s="115" customFormat="1" ht="21" customHeight="1" x14ac:dyDescent="0.2">
      <c r="A50" s="142"/>
      <c r="B50" s="498"/>
      <c r="C50" s="498"/>
      <c r="F50" s="253"/>
      <c r="G50" s="250"/>
      <c r="H50" s="93" t="s">
        <v>107</v>
      </c>
      <c r="I50" s="190"/>
      <c r="J50" s="259"/>
      <c r="K50" s="259"/>
      <c r="L50" s="262"/>
      <c r="M50" s="262">
        <v>4</v>
      </c>
      <c r="N50" s="86"/>
    </row>
    <row r="51" spans="1:14" s="115" customFormat="1" ht="19.5" customHeight="1" x14ac:dyDescent="0.2">
      <c r="A51" s="115" t="s">
        <v>109</v>
      </c>
      <c r="B51" s="489" t="s">
        <v>110</v>
      </c>
      <c r="C51" s="497"/>
      <c r="D51" s="497"/>
      <c r="E51" s="497"/>
      <c r="F51" s="497"/>
      <c r="G51" s="251"/>
      <c r="H51" s="261" t="s">
        <v>111</v>
      </c>
      <c r="I51" s="116"/>
      <c r="J51" s="112"/>
      <c r="K51" s="112"/>
      <c r="L51" s="112"/>
      <c r="M51" s="117"/>
      <c r="N51" s="118"/>
    </row>
    <row r="52" spans="1:14" s="115" customFormat="1" ht="19.5" customHeight="1" x14ac:dyDescent="0.2">
      <c r="A52" s="137"/>
      <c r="B52" s="490" t="s">
        <v>112</v>
      </c>
      <c r="C52" s="497"/>
      <c r="D52" s="497"/>
      <c r="E52" s="497"/>
      <c r="F52" s="497"/>
      <c r="G52" s="134"/>
      <c r="H52" s="93" t="s">
        <v>113</v>
      </c>
      <c r="I52" s="190"/>
      <c r="J52" s="259"/>
      <c r="K52" s="259"/>
      <c r="L52" s="262"/>
      <c r="M52" s="262">
        <v>3</v>
      </c>
      <c r="N52" s="121"/>
    </row>
    <row r="53" spans="1:14" s="115" customFormat="1" ht="17.5" customHeight="1" x14ac:dyDescent="0.2">
      <c r="A53" s="138"/>
      <c r="B53" s="490" t="s">
        <v>114</v>
      </c>
      <c r="C53" s="497"/>
      <c r="D53" s="497"/>
      <c r="E53" s="497"/>
      <c r="F53" s="253"/>
      <c r="G53" s="252"/>
      <c r="H53" s="93" t="s">
        <v>115</v>
      </c>
      <c r="I53" s="190"/>
      <c r="J53" s="259"/>
      <c r="K53" s="259"/>
      <c r="L53" s="262">
        <v>1</v>
      </c>
      <c r="M53" s="262">
        <v>3</v>
      </c>
      <c r="N53" s="82"/>
    </row>
    <row r="54" spans="1:14" s="115" customFormat="1" ht="18.75" customHeight="1" x14ac:dyDescent="0.2">
      <c r="A54" s="138"/>
      <c r="B54" s="491" t="s">
        <v>116</v>
      </c>
      <c r="C54" s="497"/>
      <c r="D54" s="497"/>
      <c r="E54" s="497"/>
      <c r="F54" s="253"/>
      <c r="G54" s="252"/>
      <c r="H54" s="93" t="s">
        <v>117</v>
      </c>
      <c r="I54" s="190"/>
      <c r="J54" s="53"/>
      <c r="K54" s="53"/>
      <c r="L54" s="55">
        <v>2</v>
      </c>
      <c r="M54" s="55">
        <v>2</v>
      </c>
      <c r="N54" s="122"/>
    </row>
    <row r="55" spans="1:14" s="115" customFormat="1" ht="18.75" customHeight="1" x14ac:dyDescent="0.2">
      <c r="A55" s="138"/>
      <c r="B55" s="490" t="s">
        <v>118</v>
      </c>
      <c r="C55" s="497"/>
      <c r="D55" s="497"/>
      <c r="E55" s="497"/>
      <c r="F55" s="253"/>
      <c r="G55" s="134"/>
      <c r="H55" s="123"/>
      <c r="I55" s="123"/>
      <c r="J55" s="123"/>
      <c r="K55" s="123"/>
      <c r="L55" s="123"/>
      <c r="M55" s="123"/>
      <c r="N55" s="122"/>
    </row>
    <row r="56" spans="1:14" s="115" customFormat="1" ht="19.5" customHeight="1" x14ac:dyDescent="0.2">
      <c r="A56" s="138"/>
      <c r="B56" s="490" t="s">
        <v>119</v>
      </c>
      <c r="C56" s="497"/>
      <c r="D56" s="497"/>
      <c r="E56" s="497"/>
      <c r="F56" s="497"/>
      <c r="G56" s="134"/>
      <c r="H56" s="123"/>
      <c r="I56" s="123"/>
      <c r="J56" s="123"/>
      <c r="K56" s="123"/>
      <c r="L56" s="123"/>
      <c r="M56" s="123"/>
      <c r="N56" s="122"/>
    </row>
    <row r="57" spans="1:14" s="115" customFormat="1" ht="20.25" customHeight="1" x14ac:dyDescent="0.2">
      <c r="A57" s="138"/>
      <c r="B57" s="364" t="s">
        <v>120</v>
      </c>
      <c r="C57" s="365"/>
      <c r="D57" s="365"/>
      <c r="E57" s="365"/>
      <c r="F57" s="253"/>
      <c r="G57" s="134"/>
      <c r="H57" s="123"/>
      <c r="I57" s="123"/>
      <c r="J57" s="123"/>
      <c r="K57" s="123"/>
      <c r="L57" s="123"/>
      <c r="M57" s="123"/>
      <c r="N57" s="122"/>
    </row>
    <row r="58" spans="1:14" s="115" customFormat="1" ht="20.25" customHeight="1" x14ac:dyDescent="0.2">
      <c r="A58" s="138"/>
      <c r="B58" s="364" t="s">
        <v>121</v>
      </c>
      <c r="C58" s="365"/>
      <c r="D58" s="365"/>
      <c r="E58" s="365"/>
      <c r="F58" s="253"/>
      <c r="G58" s="252"/>
      <c r="H58" s="380" t="s">
        <v>122</v>
      </c>
      <c r="I58" s="382"/>
      <c r="J58" s="384" t="s">
        <v>23</v>
      </c>
      <c r="K58" s="386" t="s">
        <v>24</v>
      </c>
      <c r="L58" s="126"/>
      <c r="M58" s="126"/>
      <c r="N58" s="127"/>
    </row>
    <row r="59" spans="1:14" s="115" customFormat="1" ht="19.5" customHeight="1" x14ac:dyDescent="0.2">
      <c r="A59" s="138"/>
      <c r="B59" s="364" t="s">
        <v>123</v>
      </c>
      <c r="C59" s="365"/>
      <c r="D59" s="365"/>
      <c r="E59" s="365"/>
      <c r="F59" s="253"/>
      <c r="G59" s="134"/>
      <c r="H59" s="381"/>
      <c r="I59" s="383"/>
      <c r="J59" s="385"/>
      <c r="K59" s="387"/>
      <c r="L59" s="129"/>
      <c r="M59" s="129"/>
      <c r="N59" s="130"/>
    </row>
    <row r="60" spans="1:14" s="115" customFormat="1" ht="20.25" customHeight="1" x14ac:dyDescent="0.2">
      <c r="A60" s="138"/>
      <c r="B60" s="364" t="s">
        <v>124</v>
      </c>
      <c r="C60" s="365"/>
      <c r="D60" s="365"/>
      <c r="E60" s="365"/>
      <c r="F60" s="253"/>
      <c r="G60" s="253"/>
      <c r="H60" s="135" t="s">
        <v>125</v>
      </c>
      <c r="I60" s="190"/>
      <c r="J60" s="259"/>
      <c r="K60" s="259"/>
      <c r="L60" s="262"/>
      <c r="M60" s="262"/>
      <c r="N60" s="136"/>
    </row>
    <row r="61" spans="1:14" s="115" customFormat="1" ht="17.5" customHeight="1" x14ac:dyDescent="0.2">
      <c r="A61" s="138"/>
      <c r="B61" s="366" t="s">
        <v>126</v>
      </c>
      <c r="C61" s="366"/>
      <c r="D61" s="366"/>
      <c r="E61" s="366"/>
      <c r="F61" s="138"/>
      <c r="G61" s="253"/>
      <c r="H61" s="135" t="s">
        <v>127</v>
      </c>
      <c r="I61" s="190"/>
      <c r="J61" s="259"/>
      <c r="K61" s="259"/>
      <c r="L61" s="262"/>
      <c r="M61" s="262"/>
      <c r="N61" s="122"/>
    </row>
    <row r="62" spans="1:14" s="115" customFormat="1" ht="19.5" customHeight="1" x14ac:dyDescent="0.2">
      <c r="A62" s="138"/>
      <c r="B62" s="367" t="s">
        <v>128</v>
      </c>
      <c r="C62" s="368"/>
      <c r="D62" s="368"/>
      <c r="E62" s="368"/>
      <c r="F62" s="201"/>
      <c r="G62" s="253"/>
      <c r="H62" s="135" t="s">
        <v>129</v>
      </c>
      <c r="I62" s="190"/>
      <c r="J62" s="259"/>
      <c r="K62" s="259"/>
      <c r="L62" s="55"/>
      <c r="M62" s="55"/>
      <c r="N62" s="141"/>
    </row>
    <row r="63" spans="1:14" s="115" customFormat="1" ht="18.75" customHeight="1" x14ac:dyDescent="0.2">
      <c r="A63" s="138"/>
      <c r="B63" s="369"/>
      <c r="C63" s="370"/>
      <c r="D63" s="370"/>
      <c r="E63" s="370"/>
      <c r="F63" s="202"/>
      <c r="G63" s="253"/>
      <c r="H63" s="371" t="s">
        <v>130</v>
      </c>
      <c r="I63" s="143"/>
      <c r="J63" s="373" t="s">
        <v>23</v>
      </c>
      <c r="K63" s="375" t="s">
        <v>24</v>
      </c>
      <c r="L63" s="144"/>
      <c r="M63" s="145"/>
      <c r="N63" s="146"/>
    </row>
    <row r="64" spans="1:14" s="115" customFormat="1" ht="18" customHeight="1" x14ac:dyDescent="0.2">
      <c r="A64" s="9"/>
      <c r="B64" s="264" t="s">
        <v>131</v>
      </c>
      <c r="C64" s="203"/>
      <c r="D64" s="203"/>
      <c r="E64" s="203"/>
      <c r="F64" s="204"/>
      <c r="G64" s="253"/>
      <c r="H64" s="372"/>
      <c r="I64" s="143"/>
      <c r="J64" s="374"/>
      <c r="K64" s="376"/>
      <c r="L64" s="144"/>
      <c r="M64" s="147"/>
      <c r="N64" s="130"/>
    </row>
    <row r="65" spans="1:14" s="115" customFormat="1" ht="21" customHeight="1" x14ac:dyDescent="0.2">
      <c r="A65" s="140"/>
      <c r="B65" s="205" t="s">
        <v>132</v>
      </c>
      <c r="C65" s="203"/>
      <c r="D65" s="203"/>
      <c r="E65" s="203"/>
      <c r="F65" s="206"/>
      <c r="G65" s="253"/>
      <c r="H65" s="148" t="s">
        <v>133</v>
      </c>
      <c r="I65" s="190"/>
      <c r="J65" s="259"/>
      <c r="K65" s="259"/>
      <c r="L65" s="262"/>
      <c r="M65" s="262"/>
      <c r="N65" s="136"/>
    </row>
    <row r="66" spans="1:14" s="7" customFormat="1" ht="19.5" customHeight="1" x14ac:dyDescent="0.2">
      <c r="A66" s="9"/>
      <c r="B66" s="207" t="s">
        <v>134</v>
      </c>
      <c r="C66" s="208"/>
      <c r="D66" s="209"/>
      <c r="E66" s="209"/>
      <c r="F66" s="210"/>
      <c r="G66" s="253"/>
      <c r="H66" s="149" t="s">
        <v>135</v>
      </c>
      <c r="I66" s="188"/>
      <c r="J66" s="359"/>
      <c r="K66" s="359"/>
      <c r="L66" s="361"/>
      <c r="M66" s="361"/>
      <c r="N66" s="122"/>
    </row>
    <row r="67" spans="1:14" s="7" customFormat="1" ht="18.75" customHeight="1" x14ac:dyDescent="0.2">
      <c r="A67" s="9"/>
      <c r="B67" s="207" t="s">
        <v>136</v>
      </c>
      <c r="C67" s="209"/>
      <c r="D67" s="209"/>
      <c r="E67" s="209"/>
      <c r="F67" s="210"/>
      <c r="G67" s="253"/>
      <c r="H67" s="150" t="s">
        <v>137</v>
      </c>
      <c r="I67" s="189"/>
      <c r="J67" s="360"/>
      <c r="K67" s="360"/>
      <c r="L67" s="362"/>
      <c r="M67" s="362"/>
      <c r="N67" s="122"/>
    </row>
    <row r="68" spans="1:14" s="7" customFormat="1" ht="18.75" customHeight="1" x14ac:dyDescent="0.2">
      <c r="A68" s="9"/>
      <c r="B68" s="207" t="s">
        <v>138</v>
      </c>
      <c r="C68" s="209"/>
      <c r="D68" s="209"/>
      <c r="E68" s="209"/>
      <c r="F68" s="210"/>
      <c r="G68" s="253"/>
      <c r="H68" s="151"/>
      <c r="I68" s="136"/>
      <c r="J68" s="152"/>
      <c r="K68" s="153"/>
      <c r="L68" s="154"/>
      <c r="M68" s="154"/>
      <c r="N68" s="122"/>
    </row>
    <row r="69" spans="1:14" s="7" customFormat="1" ht="19.5" customHeight="1" x14ac:dyDescent="0.2">
      <c r="A69" s="9"/>
      <c r="B69" s="207" t="s">
        <v>139</v>
      </c>
      <c r="C69" s="203"/>
      <c r="D69" s="203"/>
      <c r="E69" s="203"/>
      <c r="F69" s="211"/>
      <c r="G69" s="253"/>
      <c r="H69" s="155"/>
      <c r="I69" s="141"/>
      <c r="J69" s="156"/>
      <c r="K69" s="157"/>
      <c r="L69" s="158"/>
      <c r="M69" s="158"/>
      <c r="N69" s="141"/>
    </row>
    <row r="70" spans="1:14" s="7" customFormat="1" ht="19" customHeight="1" x14ac:dyDescent="0.2">
      <c r="A70" s="9"/>
      <c r="B70" s="388" t="s">
        <v>140</v>
      </c>
      <c r="C70" s="389"/>
      <c r="D70" s="389"/>
      <c r="F70" s="211"/>
      <c r="G70" s="253"/>
      <c r="H70" s="390" t="s">
        <v>141</v>
      </c>
      <c r="I70" s="392" t="s">
        <v>142</v>
      </c>
      <c r="J70" s="394" t="s">
        <v>23</v>
      </c>
      <c r="K70" s="395" t="s">
        <v>24</v>
      </c>
      <c r="L70" s="363" t="s">
        <v>143</v>
      </c>
      <c r="M70" s="363" t="s">
        <v>144</v>
      </c>
      <c r="N70" s="363" t="s">
        <v>145</v>
      </c>
    </row>
    <row r="71" spans="1:14" s="7" customFormat="1" ht="20.25" customHeight="1" x14ac:dyDescent="0.2">
      <c r="A71" s="9"/>
      <c r="B71" s="207" t="s">
        <v>146</v>
      </c>
      <c r="C71" s="209"/>
      <c r="D71" s="209"/>
      <c r="E71" s="209"/>
      <c r="F71" s="211"/>
      <c r="G71" s="253"/>
      <c r="H71" s="391"/>
      <c r="I71" s="496"/>
      <c r="J71" s="374"/>
      <c r="K71" s="376"/>
      <c r="L71" s="362"/>
      <c r="M71" s="362"/>
      <c r="N71" s="362"/>
    </row>
    <row r="72" spans="1:14" s="7" customFormat="1" ht="18.75" customHeight="1" x14ac:dyDescent="0.2">
      <c r="A72" s="9"/>
      <c r="B72" s="212" t="s">
        <v>147</v>
      </c>
      <c r="C72" s="9"/>
      <c r="D72" s="9"/>
      <c r="E72" s="9"/>
      <c r="F72" s="213"/>
      <c r="G72" s="253"/>
      <c r="H72" s="159" t="s">
        <v>148</v>
      </c>
      <c r="I72" s="187"/>
      <c r="J72" s="259"/>
      <c r="K72" s="259"/>
      <c r="L72" s="160"/>
      <c r="M72" s="160"/>
      <c r="N72" s="161"/>
    </row>
    <row r="73" spans="1:14" s="7" customFormat="1" ht="20.25" customHeight="1" thickBot="1" x14ac:dyDescent="0.25">
      <c r="A73" s="9"/>
      <c r="B73" s="207" t="s">
        <v>149</v>
      </c>
      <c r="C73" s="209"/>
      <c r="D73" s="209"/>
      <c r="E73" s="209"/>
      <c r="F73" s="211"/>
      <c r="G73" s="253"/>
      <c r="H73" s="159" t="s">
        <v>148</v>
      </c>
      <c r="I73" s="187"/>
      <c r="J73" s="259"/>
      <c r="K73" s="259"/>
      <c r="L73" s="160"/>
      <c r="M73" s="160"/>
      <c r="N73" s="162"/>
    </row>
    <row r="74" spans="1:14" s="7" customFormat="1" ht="19" customHeight="1" x14ac:dyDescent="0.2">
      <c r="A74" s="9"/>
      <c r="B74" s="212" t="s">
        <v>150</v>
      </c>
      <c r="C74" s="214"/>
      <c r="D74" s="214"/>
      <c r="E74" s="214"/>
      <c r="F74" s="211"/>
      <c r="G74" s="253"/>
      <c r="H74" s="159" t="s">
        <v>148</v>
      </c>
      <c r="I74" s="187"/>
      <c r="J74" s="259"/>
      <c r="K74" s="259"/>
      <c r="L74" s="160"/>
      <c r="M74" s="160"/>
      <c r="N74" s="162"/>
    </row>
    <row r="75" spans="1:14" s="7" customFormat="1" ht="19" customHeight="1" x14ac:dyDescent="0.2">
      <c r="A75" s="9"/>
      <c r="B75" s="207" t="s">
        <v>151</v>
      </c>
      <c r="C75" s="209"/>
      <c r="D75" s="209"/>
      <c r="E75" s="209"/>
      <c r="F75" s="211"/>
      <c r="G75" s="253"/>
      <c r="H75" s="159" t="s">
        <v>148</v>
      </c>
      <c r="I75" s="187"/>
      <c r="J75" s="259"/>
      <c r="K75" s="259"/>
      <c r="L75" s="160"/>
      <c r="M75" s="160"/>
      <c r="N75" s="162"/>
    </row>
    <row r="76" spans="1:14" s="7" customFormat="1" ht="18" customHeight="1" x14ac:dyDescent="0.2">
      <c r="A76" s="9"/>
      <c r="B76" s="215" t="s">
        <v>152</v>
      </c>
      <c r="C76" s="216"/>
      <c r="D76" s="216"/>
      <c r="E76" s="216"/>
      <c r="F76" s="211"/>
      <c r="G76" s="138"/>
      <c r="H76" s="77"/>
      <c r="I76" s="78"/>
      <c r="J76" s="79"/>
      <c r="K76" s="80"/>
      <c r="L76" s="77"/>
      <c r="M76" s="81"/>
      <c r="N76" s="49"/>
    </row>
    <row r="77" spans="1:14" s="7" customFormat="1" ht="17.25" customHeight="1" x14ac:dyDescent="0.2">
      <c r="A77" s="9"/>
      <c r="B77" s="217" t="s">
        <v>153</v>
      </c>
      <c r="C77" s="216"/>
      <c r="D77" s="216"/>
      <c r="E77" s="216"/>
      <c r="F77" s="211"/>
      <c r="G77" s="138"/>
      <c r="H77" s="77"/>
      <c r="I77" s="84"/>
      <c r="J77" s="79"/>
      <c r="K77" s="80"/>
      <c r="L77" s="77"/>
      <c r="M77" s="81"/>
      <c r="N77" s="49"/>
    </row>
    <row r="78" spans="1:14" s="7" customFormat="1" ht="18.75" customHeight="1" x14ac:dyDescent="0.2">
      <c r="A78" s="9"/>
      <c r="B78" s="218" t="s">
        <v>154</v>
      </c>
      <c r="F78" s="211"/>
      <c r="G78" s="163"/>
      <c r="H78" s="77"/>
      <c r="I78" s="78"/>
      <c r="J78" s="79"/>
      <c r="K78" s="80"/>
      <c r="L78" s="77"/>
      <c r="M78" s="81"/>
      <c r="N78" s="49"/>
    </row>
    <row r="79" spans="1:14" s="7" customFormat="1" ht="18.75" customHeight="1" x14ac:dyDescent="0.2">
      <c r="A79" s="9"/>
      <c r="B79" s="225" t="s">
        <v>155</v>
      </c>
      <c r="F79" s="211"/>
      <c r="G79" s="163"/>
      <c r="H79" s="77"/>
      <c r="I79" s="84"/>
      <c r="J79" s="79"/>
      <c r="K79" s="80"/>
      <c r="L79" s="77"/>
      <c r="M79" s="81"/>
      <c r="N79" s="49"/>
    </row>
    <row r="80" spans="1:14" s="7" customFormat="1" ht="17.25" customHeight="1" x14ac:dyDescent="0.2">
      <c r="A80" s="9"/>
      <c r="B80" s="207" t="s">
        <v>156</v>
      </c>
      <c r="C80" s="209"/>
      <c r="D80" s="209"/>
      <c r="E80" s="209"/>
      <c r="F80" s="219"/>
      <c r="G80" s="163"/>
      <c r="H80" s="77"/>
      <c r="I80" s="165"/>
      <c r="J80" s="79"/>
      <c r="K80" s="80"/>
      <c r="L80" s="77"/>
      <c r="M80" s="81"/>
      <c r="N80" s="49"/>
    </row>
    <row r="81" spans="1:14" s="7" customFormat="1" ht="19.5" customHeight="1" x14ac:dyDescent="0.2">
      <c r="A81" s="9"/>
      <c r="B81" s="220"/>
      <c r="C81" s="221"/>
      <c r="D81" s="221"/>
      <c r="E81" s="209"/>
      <c r="F81" s="219"/>
      <c r="G81" s="163"/>
      <c r="H81" s="166"/>
      <c r="I81" s="165"/>
      <c r="J81" s="167"/>
      <c r="K81" s="168"/>
      <c r="L81" s="169"/>
      <c r="M81" s="81"/>
      <c r="N81" s="13"/>
    </row>
    <row r="82" spans="1:14" s="7" customFormat="1" ht="17.25" customHeight="1" x14ac:dyDescent="0.2">
      <c r="A82" s="9"/>
      <c r="B82" s="222"/>
      <c r="C82" s="223"/>
      <c r="D82" s="223"/>
      <c r="E82" s="223"/>
      <c r="F82" s="224"/>
      <c r="G82" s="163"/>
      <c r="H82" s="346" t="s">
        <v>157</v>
      </c>
      <c r="I82" s="327"/>
      <c r="J82" s="348" t="s">
        <v>158</v>
      </c>
      <c r="K82" s="349"/>
      <c r="L82" s="350"/>
      <c r="M82" s="351">
        <v>30</v>
      </c>
      <c r="N82" s="352"/>
    </row>
    <row r="83" spans="1:14" s="7" customFormat="1" ht="18.75" customHeight="1" x14ac:dyDescent="0.2">
      <c r="A83" s="9"/>
      <c r="G83" s="163"/>
      <c r="H83" s="347"/>
      <c r="I83" s="329"/>
      <c r="J83" s="348" t="s">
        <v>159</v>
      </c>
      <c r="K83" s="349"/>
      <c r="L83" s="350"/>
      <c r="M83" s="321">
        <f>SUMIF(J9:J57,"A",L9:L57)+SUMIF(J9:J57,"A-",L9:L57)+SUMIF(J11:J57,"B+",L11:L57)+SUMIF(J11:J57,"B",L11:L57)+SUMIF(J11:J57,"B-",L11:L57)+SUMIF(J11:J57,"C+",L11:L57)+SUMIF(J11:J57,"C",L11:L57)+SUMIF(J11:J57,"C-",L11:L57)+SUMIF(J11:J57,"D+",L11:L57)+SUMIF(J11:J57,"D",L11:L57)+SUMIF(J11:J57,"D-",L11:L57)+SUMIF(J11:J57,"T",L11:L57)+SUMIF(J11:J57,"AP",L11:L57)+SUMIF(J11:J57,"IB",L11:L57)</f>
        <v>0</v>
      </c>
      <c r="N83" s="322"/>
    </row>
    <row r="84" spans="1:14" s="9" customFormat="1" ht="18" customHeight="1" x14ac:dyDescent="0.2">
      <c r="B84" s="7"/>
      <c r="C84" s="7"/>
      <c r="D84" s="7"/>
      <c r="E84" s="7"/>
      <c r="F84" s="7"/>
      <c r="G84" s="170"/>
      <c r="H84" s="346" t="s">
        <v>160</v>
      </c>
      <c r="I84" s="327"/>
      <c r="J84" s="348" t="s">
        <v>161</v>
      </c>
      <c r="K84" s="349"/>
      <c r="L84" s="350"/>
      <c r="M84" s="351">
        <v>68</v>
      </c>
      <c r="N84" s="352"/>
    </row>
    <row r="85" spans="1:14" s="7" customFormat="1" ht="18" customHeight="1" x14ac:dyDescent="0.2">
      <c r="A85" s="9"/>
      <c r="B85" s="353" t="s">
        <v>162</v>
      </c>
      <c r="C85" s="354"/>
      <c r="D85" s="171" t="s">
        <v>163</v>
      </c>
      <c r="E85" s="172"/>
      <c r="G85" s="163"/>
      <c r="H85" s="347"/>
      <c r="I85" s="329"/>
      <c r="J85" s="348" t="s">
        <v>159</v>
      </c>
      <c r="K85" s="349"/>
      <c r="L85" s="350"/>
      <c r="M85" s="321">
        <f>SUMIF(J11:J57,"A",M11:M57)+SUMIF(J11:J57,"A-",M11:M57)+SUMIF(J11:J57,"B+",M11:M57)+SUMIF(J11:J57,"B",M11:M57)+SUMIF(J11:J57,"B-",M11:M57)+SUMIF(J11:J57,"C+",M11:M57)+SUMIF(J11:J57,"C",M11:M57)+SUMIF(J11:J57,"C-",M11:M57)+SUMIF(J11:J57,"D+",M11:M57)+SUMIF(J11:J57,"D",M11:M57)+SUMIF(J11:J57,"D-",M11:M57)+SUMIF(J11:J57,"T",M11:M57)+SUMIF(J11:J57,"AP",M11:M57)+SUMIF(J11:J57,"IB",M11:M57)</f>
        <v>0</v>
      </c>
      <c r="N85" s="322"/>
    </row>
    <row r="86" spans="1:14" s="7" customFormat="1" ht="15" customHeight="1" x14ac:dyDescent="0.2">
      <c r="A86" s="9"/>
      <c r="B86" s="355"/>
      <c r="C86" s="356"/>
      <c r="D86" s="173" t="s">
        <v>164</v>
      </c>
      <c r="E86" s="174"/>
      <c r="G86" s="163"/>
      <c r="H86" s="346" t="s">
        <v>24</v>
      </c>
      <c r="I86" s="327"/>
      <c r="J86" s="348" t="s">
        <v>161</v>
      </c>
      <c r="K86" s="349"/>
      <c r="L86" s="350"/>
      <c r="M86" s="351">
        <v>135</v>
      </c>
      <c r="N86" s="352"/>
    </row>
    <row r="87" spans="1:14" s="7" customFormat="1" ht="15" x14ac:dyDescent="0.2">
      <c r="A87" s="2"/>
      <c r="B87" s="355"/>
      <c r="C87" s="356"/>
      <c r="D87" s="173" t="s">
        <v>165</v>
      </c>
      <c r="E87" s="175"/>
      <c r="F87" s="1"/>
      <c r="G87" s="163"/>
      <c r="H87" s="347"/>
      <c r="I87" s="329"/>
      <c r="J87" s="348" t="s">
        <v>159</v>
      </c>
      <c r="K87" s="349"/>
      <c r="L87" s="350"/>
      <c r="M87" s="321">
        <f>SUM(K11:K81)</f>
        <v>0</v>
      </c>
      <c r="N87" s="322"/>
    </row>
    <row r="88" spans="1:14" s="7" customFormat="1" ht="15" x14ac:dyDescent="0.2">
      <c r="A88" s="2"/>
      <c r="B88" s="355"/>
      <c r="C88" s="356"/>
      <c r="D88" s="176"/>
      <c r="E88" s="177"/>
      <c r="F88" s="1"/>
      <c r="G88" s="163"/>
      <c r="H88" s="6"/>
      <c r="J88" s="8"/>
      <c r="M88" s="9"/>
    </row>
    <row r="89" spans="1:14" s="7" customFormat="1" ht="15" customHeight="1" x14ac:dyDescent="0.2">
      <c r="A89" s="2"/>
      <c r="B89" s="355"/>
      <c r="C89" s="356"/>
      <c r="D89" s="176"/>
      <c r="E89" s="177"/>
      <c r="F89" s="1"/>
      <c r="G89" s="163"/>
      <c r="H89" s="323" t="s">
        <v>166</v>
      </c>
      <c r="I89" s="324"/>
      <c r="J89" s="325"/>
      <c r="K89" s="326"/>
      <c r="L89" s="326"/>
      <c r="M89" s="326"/>
      <c r="N89" s="327"/>
    </row>
    <row r="90" spans="1:14" s="7" customFormat="1" ht="15" x14ac:dyDescent="0.2">
      <c r="A90" s="2"/>
      <c r="B90" s="357"/>
      <c r="C90" s="358"/>
      <c r="D90" s="176"/>
      <c r="E90" s="177"/>
      <c r="F90" s="1"/>
      <c r="G90" s="163"/>
      <c r="H90" s="330" t="s">
        <v>167</v>
      </c>
      <c r="I90" s="331"/>
      <c r="J90" s="328"/>
      <c r="K90" s="328"/>
      <c r="L90" s="328"/>
      <c r="M90" s="328"/>
      <c r="N90" s="329"/>
    </row>
    <row r="91" spans="1:14" s="7" customFormat="1" ht="15" x14ac:dyDescent="0.2">
      <c r="A91" s="2"/>
      <c r="B91" s="337" t="s">
        <v>168</v>
      </c>
      <c r="C91" s="338"/>
      <c r="D91" s="338"/>
      <c r="E91" s="338"/>
      <c r="F91" s="1"/>
      <c r="G91" s="163"/>
      <c r="H91" s="330"/>
      <c r="I91" s="332"/>
      <c r="J91" s="339" t="s">
        <v>159</v>
      </c>
      <c r="K91" s="340"/>
      <c r="L91" s="340"/>
      <c r="M91" s="341">
        <f>SUMIF(J11:J81, "AP",K11:K81)+SUMIF(J11:J81,"IB",K11:K81)</f>
        <v>0</v>
      </c>
      <c r="N91" s="342"/>
    </row>
    <row r="92" spans="1:14" s="7" customFormat="1" ht="15" x14ac:dyDescent="0.2">
      <c r="A92" s="2"/>
      <c r="B92" s="338"/>
      <c r="C92" s="338"/>
      <c r="D92" s="338"/>
      <c r="E92" s="338"/>
      <c r="F92" s="1"/>
      <c r="G92" s="163"/>
      <c r="H92" s="333"/>
      <c r="I92" s="334"/>
      <c r="J92" s="339" t="s">
        <v>169</v>
      </c>
      <c r="K92" s="340"/>
      <c r="L92" s="340"/>
      <c r="M92" s="343">
        <v>32</v>
      </c>
      <c r="N92" s="344"/>
    </row>
    <row r="93" spans="1:14" s="7" customFormat="1" ht="15" x14ac:dyDescent="0.2">
      <c r="A93" s="2"/>
      <c r="B93" s="345" t="s">
        <v>170</v>
      </c>
      <c r="C93" s="345"/>
      <c r="D93" s="345"/>
      <c r="E93" s="345"/>
      <c r="F93" s="1"/>
      <c r="G93" s="163"/>
      <c r="H93" s="335"/>
      <c r="I93" s="336"/>
      <c r="J93" s="316" t="s">
        <v>171</v>
      </c>
      <c r="K93" s="317"/>
      <c r="L93" s="318"/>
      <c r="M93" s="319"/>
      <c r="N93" s="320"/>
    </row>
    <row r="94" spans="1:14" s="7" customFormat="1" ht="16" x14ac:dyDescent="0.2">
      <c r="A94" s="2"/>
      <c r="B94" s="290" t="s">
        <v>172</v>
      </c>
      <c r="C94" s="1"/>
      <c r="D94" s="1"/>
      <c r="E94" s="1"/>
      <c r="F94" s="1"/>
      <c r="G94" s="163"/>
      <c r="H94" s="6"/>
      <c r="J94" s="8"/>
      <c r="M94" s="9"/>
    </row>
    <row r="95" spans="1:14" s="7" customFormat="1" ht="32" x14ac:dyDescent="0.2">
      <c r="A95" s="2"/>
      <c r="B95" s="290" t="s">
        <v>173</v>
      </c>
      <c r="C95" s="1"/>
      <c r="D95" s="1"/>
      <c r="E95" s="1"/>
      <c r="F95" s="1"/>
      <c r="G95" s="163"/>
      <c r="H95" s="6"/>
      <c r="J95" s="8"/>
      <c r="M95" s="9"/>
    </row>
    <row r="96" spans="1:14" s="7" customFormat="1" ht="16" x14ac:dyDescent="0.2">
      <c r="A96" s="2"/>
      <c r="B96" s="290" t="s">
        <v>172</v>
      </c>
      <c r="C96" s="1"/>
      <c r="D96" s="1"/>
      <c r="E96" s="1"/>
      <c r="F96" s="1"/>
      <c r="G96" s="163"/>
      <c r="H96" s="6"/>
      <c r="J96" s="8"/>
      <c r="M96" s="9"/>
    </row>
    <row r="97" spans="1:14" s="7" customFormat="1" ht="128" x14ac:dyDescent="0.2">
      <c r="A97" s="2"/>
      <c r="B97" s="290" t="s">
        <v>174</v>
      </c>
      <c r="C97" s="290" t="s">
        <v>175</v>
      </c>
      <c r="D97" s="290" t="s">
        <v>176</v>
      </c>
      <c r="E97" s="290" t="s">
        <v>177</v>
      </c>
      <c r="F97" s="290" t="s">
        <v>178</v>
      </c>
      <c r="G97" s="163"/>
      <c r="H97" s="6"/>
      <c r="J97" s="8"/>
      <c r="M97" s="9"/>
    </row>
    <row r="98" spans="1:14" s="7" customFormat="1" ht="112" x14ac:dyDescent="0.2">
      <c r="A98" s="2"/>
      <c r="B98" s="290" t="s">
        <v>179</v>
      </c>
      <c r="C98" s="290" t="s">
        <v>180</v>
      </c>
      <c r="D98" s="290" t="s">
        <v>181</v>
      </c>
      <c r="E98" s="290" t="s">
        <v>182</v>
      </c>
      <c r="F98" s="290" t="s">
        <v>183</v>
      </c>
      <c r="G98" s="163"/>
      <c r="H98" s="6"/>
      <c r="J98" s="8"/>
      <c r="M98" s="9"/>
    </row>
    <row r="99" spans="1:14" x14ac:dyDescent="0.2">
      <c r="H99" s="6"/>
      <c r="I99" s="7"/>
      <c r="J99" s="8"/>
      <c r="K99" s="7"/>
      <c r="L99" s="7"/>
      <c r="M99" s="9"/>
      <c r="N99" s="7"/>
    </row>
    <row r="108" spans="1:14" ht="125.25" customHeight="1" x14ac:dyDescent="0.2"/>
    <row r="112" spans="1:14" ht="203.25" customHeight="1" x14ac:dyDescent="0.2"/>
    <row r="113" ht="176.25" customHeight="1" x14ac:dyDescent="0.2"/>
    <row r="114" hidden="1" x14ac:dyDescent="0.2"/>
    <row r="115" ht="29.25" customHeight="1" x14ac:dyDescent="0.2"/>
  </sheetData>
  <sheetProtection formatCells="0" formatColumns="0" formatRows="0" insertHyperlinks="0"/>
  <mergeCells count="108">
    <mergeCell ref="B1:D1"/>
    <mergeCell ref="H1:M1"/>
    <mergeCell ref="B2:C2"/>
    <mergeCell ref="D2:E3"/>
    <mergeCell ref="H2:M3"/>
    <mergeCell ref="N2:N8"/>
    <mergeCell ref="D4:E4"/>
    <mergeCell ref="H4:M5"/>
    <mergeCell ref="B5:C5"/>
    <mergeCell ref="D5:E6"/>
    <mergeCell ref="B6:C6"/>
    <mergeCell ref="H6:M7"/>
    <mergeCell ref="B7:C7"/>
    <mergeCell ref="D7:E8"/>
    <mergeCell ref="B8:C8"/>
    <mergeCell ref="H8:M8"/>
    <mergeCell ref="B3:C3"/>
    <mergeCell ref="B4:C4"/>
    <mergeCell ref="A11:A18"/>
    <mergeCell ref="F11:F18"/>
    <mergeCell ref="J11:J12"/>
    <mergeCell ref="K11:K12"/>
    <mergeCell ref="L11:L12"/>
    <mergeCell ref="A21:A28"/>
    <mergeCell ref="E21:E26"/>
    <mergeCell ref="F21:F28"/>
    <mergeCell ref="H27:H28"/>
    <mergeCell ref="I27:I28"/>
    <mergeCell ref="J27:J28"/>
    <mergeCell ref="K27:K28"/>
    <mergeCell ref="L27:L28"/>
    <mergeCell ref="M27:M28"/>
    <mergeCell ref="H9:H10"/>
    <mergeCell ref="I9:I10"/>
    <mergeCell ref="J9:J10"/>
    <mergeCell ref="K9:K10"/>
    <mergeCell ref="L9:L10"/>
    <mergeCell ref="M9:M10"/>
    <mergeCell ref="B49:C50"/>
    <mergeCell ref="H63:H64"/>
    <mergeCell ref="J63:J64"/>
    <mergeCell ref="K63:K64"/>
    <mergeCell ref="B51:F51"/>
    <mergeCell ref="B55:E55"/>
    <mergeCell ref="B56:F56"/>
    <mergeCell ref="B57:E57"/>
    <mergeCell ref="B54:E54"/>
    <mergeCell ref="K58:K59"/>
    <mergeCell ref="B61:E61"/>
    <mergeCell ref="A31:A38"/>
    <mergeCell ref="B31:B36"/>
    <mergeCell ref="E31:E36"/>
    <mergeCell ref="F31:F38"/>
    <mergeCell ref="H32:M32"/>
    <mergeCell ref="H38:M38"/>
    <mergeCell ref="H58:H59"/>
    <mergeCell ref="I58:I59"/>
    <mergeCell ref="J58:J59"/>
    <mergeCell ref="A41:A48"/>
    <mergeCell ref="E41:E46"/>
    <mergeCell ref="F41:F48"/>
    <mergeCell ref="H43:N43"/>
    <mergeCell ref="H46:N46"/>
    <mergeCell ref="B52:F52"/>
    <mergeCell ref="B53:E53"/>
    <mergeCell ref="M82:N82"/>
    <mergeCell ref="B70:D70"/>
    <mergeCell ref="J83:L83"/>
    <mergeCell ref="M83:N83"/>
    <mergeCell ref="K70:K71"/>
    <mergeCell ref="L70:L71"/>
    <mergeCell ref="M70:M71"/>
    <mergeCell ref="N70:N71"/>
    <mergeCell ref="B58:E58"/>
    <mergeCell ref="B59:E59"/>
    <mergeCell ref="H70:H71"/>
    <mergeCell ref="I70:I71"/>
    <mergeCell ref="J70:J71"/>
    <mergeCell ref="M66:M67"/>
    <mergeCell ref="J66:J67"/>
    <mergeCell ref="B60:E60"/>
    <mergeCell ref="B62:E63"/>
    <mergeCell ref="H82:I83"/>
    <mergeCell ref="J82:L82"/>
    <mergeCell ref="K66:K67"/>
    <mergeCell ref="L66:L67"/>
    <mergeCell ref="B85:C90"/>
    <mergeCell ref="H89:I89"/>
    <mergeCell ref="J89:N90"/>
    <mergeCell ref="H90:I93"/>
    <mergeCell ref="J91:L91"/>
    <mergeCell ref="M91:N91"/>
    <mergeCell ref="J92:L92"/>
    <mergeCell ref="M92:N92"/>
    <mergeCell ref="J93:L93"/>
    <mergeCell ref="M93:N93"/>
    <mergeCell ref="H84:I85"/>
    <mergeCell ref="J84:L84"/>
    <mergeCell ref="M84:N84"/>
    <mergeCell ref="J85:L85"/>
    <mergeCell ref="M85:N85"/>
    <mergeCell ref="H86:I87"/>
    <mergeCell ref="J86:L86"/>
    <mergeCell ref="M86:N86"/>
    <mergeCell ref="J87:L87"/>
    <mergeCell ref="M87:N87"/>
    <mergeCell ref="B91:E92"/>
    <mergeCell ref="B93:E93"/>
  </mergeCells>
  <hyperlinks>
    <hyperlink ref="B4:C4" r:id="rId1" display="Please refer to the academic catalog for more detailed information on each course" xr:uid="{33F345AA-75E3-4482-BC5B-0397FF603820}"/>
  </hyperlinks>
  <pageMargins left="0.45" right="0.45" top="0.5" bottom="0.5" header="0.3" footer="0.3"/>
  <pageSetup scale="43" orientation="portrait"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10"/>
  <sheetViews>
    <sheetView showGridLines="0" topLeftCell="A24" zoomScale="85" zoomScaleNormal="85" zoomScalePageLayoutView="84" workbookViewId="0">
      <selection activeCell="B51" sqref="B51:B56"/>
    </sheetView>
  </sheetViews>
  <sheetFormatPr baseColWidth="10" defaultColWidth="9.1640625" defaultRowHeight="14" x14ac:dyDescent="0.2"/>
  <cols>
    <col min="1" max="1" width="3.6640625" style="2" customWidth="1"/>
    <col min="2" max="2" width="34.5" style="1" customWidth="1"/>
    <col min="3" max="3" width="37.5" style="1" customWidth="1"/>
    <col min="4" max="4" width="36.33203125" style="1" customWidth="1"/>
    <col min="5" max="5" width="35.33203125" style="1" customWidth="1"/>
    <col min="6" max="6" width="24.5" style="1" customWidth="1"/>
    <col min="7" max="7" width="17.5" style="5" customWidth="1"/>
    <col min="8" max="8" width="13" style="3" customWidth="1"/>
    <col min="9" max="9" width="33.5" style="1" customWidth="1"/>
    <col min="10" max="10" width="4.33203125" style="4" customWidth="1"/>
    <col min="11" max="11" width="4.6640625" style="1" customWidth="1"/>
    <col min="12" max="12" width="4.83203125" style="1" customWidth="1"/>
    <col min="13" max="13" width="4.5" style="2" customWidth="1"/>
    <col min="14" max="15" width="4.5" style="1" customWidth="1"/>
    <col min="16" max="16384" width="9.1640625" style="1"/>
  </cols>
  <sheetData>
    <row r="1" spans="1:14" s="7" customFormat="1" ht="47.5" customHeight="1" x14ac:dyDescent="0.45">
      <c r="A1" s="10"/>
      <c r="B1" s="457" t="s">
        <v>0</v>
      </c>
      <c r="C1" s="365"/>
      <c r="D1" s="458"/>
      <c r="E1" s="178" t="s">
        <v>1</v>
      </c>
      <c r="F1" s="11"/>
      <c r="G1" s="12"/>
      <c r="H1" s="465" t="s">
        <v>2</v>
      </c>
      <c r="I1" s="466"/>
      <c r="J1" s="466"/>
      <c r="K1" s="466"/>
      <c r="L1" s="466"/>
      <c r="M1" s="467"/>
      <c r="N1" s="13"/>
    </row>
    <row r="2" spans="1:14" s="7" customFormat="1" ht="25.5" customHeight="1" x14ac:dyDescent="0.25">
      <c r="B2" s="459" t="s">
        <v>186</v>
      </c>
      <c r="C2" s="460"/>
      <c r="D2" s="461" t="s">
        <v>4</v>
      </c>
      <c r="E2" s="462"/>
      <c r="F2" s="14"/>
      <c r="G2" s="12"/>
      <c r="H2" s="468" t="s">
        <v>5</v>
      </c>
      <c r="I2" s="469"/>
      <c r="J2" s="469"/>
      <c r="K2" s="469"/>
      <c r="L2" s="469"/>
      <c r="M2" s="470"/>
      <c r="N2" s="474"/>
    </row>
    <row r="3" spans="1:14" s="7" customFormat="1" ht="61.5" customHeight="1" x14ac:dyDescent="0.25">
      <c r="A3" s="9"/>
      <c r="B3" s="463" t="s">
        <v>6</v>
      </c>
      <c r="C3" s="464"/>
      <c r="D3" s="432"/>
      <c r="E3" s="429"/>
      <c r="F3" s="14"/>
      <c r="G3" s="12"/>
      <c r="H3" s="471"/>
      <c r="I3" s="472"/>
      <c r="J3" s="472"/>
      <c r="K3" s="472"/>
      <c r="L3" s="472"/>
      <c r="M3" s="473"/>
      <c r="N3" s="475"/>
    </row>
    <row r="4" spans="1:14" s="7" customFormat="1" ht="31.5" customHeight="1" x14ac:dyDescent="0.25">
      <c r="A4" s="258"/>
      <c r="B4" s="426" t="s">
        <v>7</v>
      </c>
      <c r="C4" s="427"/>
      <c r="D4" s="428" t="s">
        <v>8</v>
      </c>
      <c r="E4" s="429"/>
      <c r="F4" s="14"/>
      <c r="G4" s="12"/>
      <c r="H4" s="448" t="s">
        <v>9</v>
      </c>
      <c r="I4" s="449"/>
      <c r="J4" s="449"/>
      <c r="K4" s="449"/>
      <c r="L4" s="449"/>
      <c r="M4" s="450"/>
      <c r="N4" s="475"/>
    </row>
    <row r="5" spans="1:14" s="7" customFormat="1" ht="19" customHeight="1" x14ac:dyDescent="0.2">
      <c r="A5" s="9"/>
      <c r="B5" s="430" t="s">
        <v>10</v>
      </c>
      <c r="C5" s="431"/>
      <c r="D5" s="428" t="s">
        <v>11</v>
      </c>
      <c r="E5" s="429"/>
      <c r="F5" s="15"/>
      <c r="G5" s="16"/>
      <c r="H5" s="477"/>
      <c r="I5" s="478"/>
      <c r="J5" s="478"/>
      <c r="K5" s="478"/>
      <c r="L5" s="478"/>
      <c r="M5" s="434"/>
      <c r="N5" s="475"/>
    </row>
    <row r="6" spans="1:14" s="17" customFormat="1" ht="20.25" customHeight="1" x14ac:dyDescent="0.2">
      <c r="B6" s="430" t="s">
        <v>12</v>
      </c>
      <c r="C6" s="431"/>
      <c r="D6" s="432"/>
      <c r="E6" s="429"/>
      <c r="F6" s="18"/>
      <c r="G6" s="19"/>
      <c r="H6" s="448" t="s">
        <v>13</v>
      </c>
      <c r="I6" s="449"/>
      <c r="J6" s="449"/>
      <c r="K6" s="449"/>
      <c r="L6" s="449"/>
      <c r="M6" s="450"/>
      <c r="N6" s="475"/>
    </row>
    <row r="7" spans="1:14" s="9" customFormat="1" ht="19" customHeight="1" x14ac:dyDescent="0.2">
      <c r="B7" s="433" t="s">
        <v>14</v>
      </c>
      <c r="C7" s="431"/>
      <c r="D7" s="428" t="s">
        <v>15</v>
      </c>
      <c r="E7" s="434"/>
      <c r="F7" s="20"/>
      <c r="G7" s="21"/>
      <c r="H7" s="451"/>
      <c r="I7" s="452"/>
      <c r="J7" s="452"/>
      <c r="K7" s="452"/>
      <c r="L7" s="452"/>
      <c r="M7" s="453"/>
      <c r="N7" s="475"/>
    </row>
    <row r="8" spans="1:14" s="25" customFormat="1" ht="23.5" customHeight="1" x14ac:dyDescent="0.2">
      <c r="A8" s="22"/>
      <c r="B8" s="437" t="s">
        <v>16</v>
      </c>
      <c r="C8" s="438"/>
      <c r="D8" s="435"/>
      <c r="E8" s="436"/>
      <c r="F8" s="23"/>
      <c r="G8" s="24"/>
      <c r="H8" s="454" t="s">
        <v>17</v>
      </c>
      <c r="I8" s="455"/>
      <c r="J8" s="455"/>
      <c r="K8" s="455"/>
      <c r="L8" s="455"/>
      <c r="M8" s="456"/>
      <c r="N8" s="476"/>
    </row>
    <row r="9" spans="1:14" s="7" customFormat="1" ht="26.25" customHeight="1" x14ac:dyDescent="0.25">
      <c r="A9" s="26"/>
      <c r="B9" s="27" t="s">
        <v>50</v>
      </c>
      <c r="C9" s="28" t="s">
        <v>19</v>
      </c>
      <c r="D9" s="28" t="s">
        <v>20</v>
      </c>
      <c r="E9" s="28" t="s">
        <v>21</v>
      </c>
      <c r="F9" s="29"/>
      <c r="G9" s="30"/>
      <c r="H9" s="440" t="s">
        <v>22</v>
      </c>
      <c r="I9" s="442"/>
      <c r="J9" s="444" t="s">
        <v>23</v>
      </c>
      <c r="K9" s="446" t="s">
        <v>24</v>
      </c>
      <c r="L9" s="446" t="s">
        <v>25</v>
      </c>
      <c r="M9" s="446" t="s">
        <v>26</v>
      </c>
      <c r="N9" s="31"/>
    </row>
    <row r="10" spans="1:14" s="7" customFormat="1" ht="24" customHeight="1" x14ac:dyDescent="0.2">
      <c r="A10" s="32"/>
      <c r="B10" s="33" t="s">
        <v>27</v>
      </c>
      <c r="C10" s="33" t="s">
        <v>27</v>
      </c>
      <c r="D10" s="33" t="s">
        <v>27</v>
      </c>
      <c r="E10" s="34" t="s">
        <v>27</v>
      </c>
      <c r="F10" s="35"/>
      <c r="G10" s="36"/>
      <c r="H10" s="441"/>
      <c r="I10" s="443"/>
      <c r="J10" s="445"/>
      <c r="K10" s="447"/>
      <c r="L10" s="447"/>
      <c r="M10" s="447"/>
      <c r="N10" s="37"/>
    </row>
    <row r="11" spans="1:14" s="9" customFormat="1" ht="18.75" customHeight="1" x14ac:dyDescent="0.2">
      <c r="A11" s="413" t="s">
        <v>28</v>
      </c>
      <c r="B11" s="265" t="s">
        <v>187</v>
      </c>
      <c r="C11" s="39" t="s">
        <v>30</v>
      </c>
      <c r="D11" s="40"/>
      <c r="F11" s="439" t="s">
        <v>28</v>
      </c>
      <c r="G11" s="41"/>
      <c r="H11" s="42" t="s">
        <v>32</v>
      </c>
      <c r="I11" s="193"/>
      <c r="J11" s="416"/>
      <c r="K11" s="359"/>
      <c r="L11" s="419">
        <v>4</v>
      </c>
      <c r="M11" s="262"/>
      <c r="N11" s="43"/>
    </row>
    <row r="12" spans="1:14" s="9" customFormat="1" ht="20.25" customHeight="1" x14ac:dyDescent="0.2">
      <c r="A12" s="414"/>
      <c r="B12" s="44" t="s">
        <v>33</v>
      </c>
      <c r="C12" s="45" t="s">
        <v>34</v>
      </c>
      <c r="D12" s="46"/>
      <c r="F12" s="408"/>
      <c r="G12" s="41"/>
      <c r="H12" s="47" t="s">
        <v>35</v>
      </c>
      <c r="I12" s="194"/>
      <c r="J12" s="417"/>
      <c r="K12" s="418"/>
      <c r="L12" s="420"/>
      <c r="M12" s="48"/>
      <c r="N12" s="49"/>
    </row>
    <row r="13" spans="1:14" s="9" customFormat="1" ht="19.5" customHeight="1" x14ac:dyDescent="0.2">
      <c r="A13" s="414"/>
      <c r="B13" s="50" t="s">
        <v>36</v>
      </c>
      <c r="C13" s="45" t="s">
        <v>37</v>
      </c>
      <c r="D13" s="51"/>
      <c r="F13" s="408"/>
      <c r="G13" s="41"/>
      <c r="H13" s="52" t="s">
        <v>38</v>
      </c>
      <c r="I13" s="192"/>
      <c r="J13" s="53"/>
      <c r="K13" s="53"/>
      <c r="L13" s="54">
        <v>4</v>
      </c>
      <c r="M13" s="55"/>
      <c r="N13" s="56"/>
    </row>
    <row r="14" spans="1:14" s="9" customFormat="1" ht="28.5" customHeight="1" x14ac:dyDescent="0.2">
      <c r="A14" s="414"/>
      <c r="B14" s="62" t="s">
        <v>188</v>
      </c>
      <c r="C14" s="58" t="s">
        <v>40</v>
      </c>
      <c r="D14" s="51"/>
      <c r="F14" s="408"/>
      <c r="G14" s="41"/>
      <c r="H14" s="52" t="s">
        <v>41</v>
      </c>
      <c r="I14" s="192"/>
      <c r="J14" s="53"/>
      <c r="K14" s="53"/>
      <c r="L14" s="54">
        <v>1</v>
      </c>
      <c r="M14" s="55"/>
      <c r="N14" s="56"/>
    </row>
    <row r="15" spans="1:14" s="9" customFormat="1" ht="20.5" customHeight="1" x14ac:dyDescent="0.2">
      <c r="A15" s="414"/>
      <c r="B15" s="57" t="s">
        <v>42</v>
      </c>
      <c r="C15" s="60" t="s">
        <v>43</v>
      </c>
      <c r="D15" s="51"/>
      <c r="F15" s="408"/>
      <c r="G15" s="41"/>
      <c r="H15" s="52" t="s">
        <v>44</v>
      </c>
      <c r="I15" s="192"/>
      <c r="J15" s="53"/>
      <c r="K15" s="53"/>
      <c r="L15" s="54">
        <v>4</v>
      </c>
      <c r="M15" s="55"/>
      <c r="N15" s="56"/>
    </row>
    <row r="16" spans="1:14" s="9" customFormat="1" ht="18.75" customHeight="1" x14ac:dyDescent="0.2">
      <c r="A16" s="407"/>
      <c r="B16" s="59" t="s">
        <v>45</v>
      </c>
      <c r="C16" s="63" t="s">
        <v>46</v>
      </c>
      <c r="D16" s="64"/>
      <c r="F16" s="408"/>
      <c r="G16" s="41"/>
      <c r="H16" s="52" t="s">
        <v>47</v>
      </c>
      <c r="I16" s="192"/>
      <c r="J16" s="53"/>
      <c r="K16" s="53"/>
      <c r="L16" s="54">
        <v>4</v>
      </c>
      <c r="M16" s="55"/>
      <c r="N16" s="56"/>
    </row>
    <row r="17" spans="1:14" s="9" customFormat="1" ht="18.75" customHeight="1" x14ac:dyDescent="0.2">
      <c r="A17" s="407"/>
      <c r="B17" s="66"/>
      <c r="C17" s="67"/>
      <c r="D17" s="51"/>
      <c r="E17" s="64"/>
      <c r="F17" s="408"/>
      <c r="G17" s="41"/>
      <c r="H17" s="52" t="s">
        <v>48</v>
      </c>
      <c r="I17" s="192"/>
      <c r="J17" s="53"/>
      <c r="K17" s="61"/>
      <c r="L17" s="260">
        <v>4</v>
      </c>
      <c r="M17" s="262"/>
      <c r="N17" s="56"/>
    </row>
    <row r="18" spans="1:14" s="7" customFormat="1" ht="21.75" customHeight="1" x14ac:dyDescent="0.2">
      <c r="A18" s="415"/>
      <c r="B18" s="68"/>
      <c r="C18" s="69"/>
      <c r="D18" s="70"/>
      <c r="F18" s="412"/>
      <c r="G18" s="41"/>
      <c r="H18" s="52" t="s">
        <v>49</v>
      </c>
      <c r="I18" s="192"/>
      <c r="J18" s="65"/>
      <c r="K18" s="65"/>
      <c r="L18" s="54">
        <v>4</v>
      </c>
      <c r="M18" s="55"/>
      <c r="N18" s="56"/>
    </row>
    <row r="19" spans="1:14" s="73" customFormat="1" ht="18.75" customHeight="1" x14ac:dyDescent="0.25">
      <c r="A19" s="71"/>
      <c r="B19" s="27" t="s">
        <v>50</v>
      </c>
      <c r="C19" s="28" t="s">
        <v>19</v>
      </c>
      <c r="D19" s="28" t="s">
        <v>20</v>
      </c>
      <c r="E19" s="28" t="s">
        <v>21</v>
      </c>
      <c r="F19" s="29"/>
      <c r="G19" s="30"/>
      <c r="H19" s="52" t="s">
        <v>51</v>
      </c>
      <c r="I19" s="72"/>
      <c r="J19" s="53"/>
      <c r="K19" s="53"/>
      <c r="L19" s="54">
        <v>3</v>
      </c>
      <c r="M19" s="55"/>
      <c r="N19" s="56"/>
    </row>
    <row r="20" spans="1:14" s="73" customFormat="1" ht="21.75" customHeight="1" x14ac:dyDescent="0.2">
      <c r="A20" s="74"/>
      <c r="B20" s="33" t="s">
        <v>27</v>
      </c>
      <c r="C20" s="33" t="s">
        <v>27</v>
      </c>
      <c r="D20" s="34" t="s">
        <v>27</v>
      </c>
      <c r="E20" s="34" t="s">
        <v>27</v>
      </c>
      <c r="F20" s="35"/>
      <c r="G20" s="36"/>
      <c r="H20" s="52" t="s">
        <v>52</v>
      </c>
      <c r="I20" s="72"/>
      <c r="J20" s="53"/>
      <c r="K20" s="53"/>
      <c r="L20" s="54">
        <v>1</v>
      </c>
      <c r="M20" s="55"/>
      <c r="N20" s="56"/>
    </row>
    <row r="21" spans="1:14" s="73" customFormat="1" ht="19.5" customHeight="1" x14ac:dyDescent="0.2">
      <c r="A21" s="406" t="s">
        <v>53</v>
      </c>
      <c r="B21" s="277" t="s">
        <v>189</v>
      </c>
      <c r="C21" s="38" t="s">
        <v>71</v>
      </c>
      <c r="E21" s="483" t="s">
        <v>55</v>
      </c>
      <c r="F21" s="377" t="s">
        <v>53</v>
      </c>
      <c r="G21" s="75"/>
      <c r="H21" s="52" t="s">
        <v>56</v>
      </c>
      <c r="I21" s="72"/>
      <c r="J21" s="53"/>
      <c r="K21" s="53"/>
      <c r="L21" s="54">
        <v>1</v>
      </c>
      <c r="M21" s="55"/>
      <c r="N21" s="49"/>
    </row>
    <row r="22" spans="1:14" s="73" customFormat="1" ht="21" customHeight="1" x14ac:dyDescent="0.2">
      <c r="A22" s="407"/>
      <c r="B22" s="45" t="s">
        <v>57</v>
      </c>
      <c r="C22" s="38" t="s">
        <v>75</v>
      </c>
      <c r="E22" s="484"/>
      <c r="F22" s="408"/>
      <c r="G22" s="41"/>
      <c r="H22" s="52" t="s">
        <v>58</v>
      </c>
      <c r="I22" s="72"/>
      <c r="J22" s="191"/>
      <c r="K22" s="180"/>
      <c r="L22" s="54">
        <v>3</v>
      </c>
      <c r="M22" s="55"/>
      <c r="N22" s="82"/>
    </row>
    <row r="23" spans="1:14" s="73" customFormat="1" ht="22" customHeight="1" x14ac:dyDescent="0.2">
      <c r="A23" s="414"/>
      <c r="B23" s="45" t="s">
        <v>59</v>
      </c>
      <c r="C23" s="39" t="s">
        <v>54</v>
      </c>
      <c r="E23" s="484"/>
      <c r="F23" s="408"/>
      <c r="G23" s="41"/>
      <c r="H23" s="52" t="s">
        <v>60</v>
      </c>
      <c r="I23" s="72"/>
      <c r="J23" s="179"/>
      <c r="K23" s="179"/>
      <c r="L23" s="54">
        <v>1</v>
      </c>
      <c r="M23" s="55"/>
      <c r="N23" s="82"/>
    </row>
    <row r="24" spans="1:14" s="73" customFormat="1" ht="23.25" customHeight="1" x14ac:dyDescent="0.2">
      <c r="A24" s="414"/>
      <c r="B24" s="278" t="s">
        <v>190</v>
      </c>
      <c r="C24" s="62" t="s">
        <v>65</v>
      </c>
      <c r="E24" s="484"/>
      <c r="F24" s="408"/>
      <c r="G24" s="85"/>
      <c r="H24" s="52" t="s">
        <v>62</v>
      </c>
      <c r="I24" s="72"/>
      <c r="J24" s="179"/>
      <c r="K24" s="164"/>
      <c r="L24" s="54">
        <v>1</v>
      </c>
      <c r="M24" s="181"/>
      <c r="N24" s="82"/>
    </row>
    <row r="25" spans="1:14" s="73" customFormat="1" ht="36.75" customHeight="1" x14ac:dyDescent="0.2">
      <c r="A25" s="407"/>
      <c r="B25" s="184" t="s">
        <v>64</v>
      </c>
      <c r="C25" s="184" t="s">
        <v>64</v>
      </c>
      <c r="E25" s="484"/>
      <c r="F25" s="408"/>
      <c r="G25" s="85"/>
      <c r="H25" s="77"/>
      <c r="I25" s="84"/>
      <c r="J25" s="79"/>
      <c r="K25" s="80"/>
      <c r="L25" s="77"/>
      <c r="M25" s="81"/>
      <c r="N25" s="82"/>
    </row>
    <row r="26" spans="1:14" s="73" customFormat="1" ht="33.75" customHeight="1" x14ac:dyDescent="0.2">
      <c r="A26" s="407"/>
      <c r="B26" s="184" t="s">
        <v>185</v>
      </c>
      <c r="C26" s="184" t="s">
        <v>72</v>
      </c>
      <c r="E26" s="485"/>
      <c r="F26" s="408"/>
      <c r="G26" s="41"/>
      <c r="H26" s="77"/>
      <c r="I26" s="84"/>
      <c r="J26" s="79"/>
      <c r="K26" s="80"/>
      <c r="L26" s="77"/>
      <c r="M26" s="81"/>
      <c r="N26" s="86"/>
    </row>
    <row r="27" spans="1:14" s="7" customFormat="1" ht="19" customHeight="1" x14ac:dyDescent="0.2">
      <c r="A27" s="407"/>
      <c r="B27" s="304"/>
      <c r="C27" s="304"/>
      <c r="E27" s="200"/>
      <c r="F27" s="408"/>
      <c r="G27" s="41"/>
      <c r="H27" s="422" t="s">
        <v>66</v>
      </c>
      <c r="I27" s="424"/>
      <c r="J27" s="402" t="s">
        <v>23</v>
      </c>
      <c r="K27" s="404" t="s">
        <v>24</v>
      </c>
      <c r="L27" s="404" t="s">
        <v>25</v>
      </c>
      <c r="M27" s="404" t="s">
        <v>26</v>
      </c>
      <c r="N27" s="87"/>
    </row>
    <row r="28" spans="1:14" s="73" customFormat="1" ht="18" customHeight="1" x14ac:dyDescent="0.2">
      <c r="A28" s="415"/>
      <c r="B28" s="88"/>
      <c r="C28" s="70"/>
      <c r="E28" s="263"/>
      <c r="F28" s="412"/>
      <c r="G28" s="41"/>
      <c r="H28" s="423"/>
      <c r="I28" s="425"/>
      <c r="J28" s="403"/>
      <c r="K28" s="405"/>
      <c r="L28" s="405"/>
      <c r="M28" s="405"/>
      <c r="N28" s="89"/>
    </row>
    <row r="29" spans="1:14" s="73" customFormat="1" ht="17.25" customHeight="1" x14ac:dyDescent="0.25">
      <c r="A29" s="90"/>
      <c r="B29" s="27" t="s">
        <v>50</v>
      </c>
      <c r="C29" s="28" t="s">
        <v>19</v>
      </c>
      <c r="D29" s="28" t="s">
        <v>20</v>
      </c>
      <c r="E29" s="28" t="s">
        <v>21</v>
      </c>
      <c r="F29" s="29"/>
      <c r="G29" s="30"/>
      <c r="H29" s="274" t="s">
        <v>67</v>
      </c>
      <c r="I29" s="271"/>
      <c r="J29" s="272"/>
      <c r="K29" s="273"/>
      <c r="L29" s="55"/>
      <c r="M29" s="55">
        <v>4</v>
      </c>
      <c r="N29" s="87"/>
    </row>
    <row r="30" spans="1:14" s="73" customFormat="1" ht="20.25" customHeight="1" x14ac:dyDescent="0.2">
      <c r="A30" s="32"/>
      <c r="B30" s="33" t="s">
        <v>27</v>
      </c>
      <c r="C30" s="33" t="s">
        <v>27</v>
      </c>
      <c r="D30" s="33" t="s">
        <v>27</v>
      </c>
      <c r="E30" s="92" t="s">
        <v>68</v>
      </c>
      <c r="F30" s="35"/>
      <c r="G30" s="36"/>
      <c r="H30" s="91" t="s">
        <v>69</v>
      </c>
      <c r="I30" s="72"/>
      <c r="J30" s="182"/>
      <c r="K30" s="182"/>
      <c r="L30" s="183"/>
      <c r="M30" s="183">
        <v>5</v>
      </c>
      <c r="N30" s="76"/>
    </row>
    <row r="31" spans="1:14" s="73" customFormat="1" ht="18" customHeight="1" x14ac:dyDescent="0.2">
      <c r="A31" s="406" t="s">
        <v>70</v>
      </c>
      <c r="B31" s="486" t="s">
        <v>55</v>
      </c>
      <c r="C31" s="93" t="s">
        <v>76</v>
      </c>
      <c r="D31" s="275" t="s">
        <v>80</v>
      </c>
      <c r="E31" s="483" t="s">
        <v>55</v>
      </c>
      <c r="F31" s="377" t="s">
        <v>70</v>
      </c>
      <c r="G31" s="95"/>
      <c r="H31" s="93" t="s">
        <v>74</v>
      </c>
      <c r="I31" s="72"/>
      <c r="J31" s="94"/>
      <c r="K31" s="94"/>
      <c r="L31" s="55"/>
      <c r="M31" s="55">
        <v>4</v>
      </c>
      <c r="N31" s="82"/>
    </row>
    <row r="32" spans="1:14" s="73" customFormat="1" ht="18" customHeight="1" x14ac:dyDescent="0.2">
      <c r="A32" s="407"/>
      <c r="B32" s="460"/>
      <c r="C32" s="93" t="s">
        <v>76</v>
      </c>
      <c r="D32" s="230" t="s">
        <v>83</v>
      </c>
      <c r="E32" s="484"/>
      <c r="F32" s="408"/>
      <c r="G32" s="96"/>
      <c r="H32" s="409" t="s">
        <v>78</v>
      </c>
      <c r="I32" s="410"/>
      <c r="J32" s="410"/>
      <c r="K32" s="410"/>
      <c r="L32" s="410"/>
      <c r="M32" s="411"/>
      <c r="N32" s="82"/>
    </row>
    <row r="33" spans="1:14" s="73" customFormat="1" ht="18" customHeight="1" x14ac:dyDescent="0.2">
      <c r="A33" s="407"/>
      <c r="B33" s="460"/>
      <c r="C33" s="93" t="s">
        <v>79</v>
      </c>
      <c r="D33" s="63" t="s">
        <v>85</v>
      </c>
      <c r="E33" s="484"/>
      <c r="F33" s="408"/>
      <c r="G33" s="96"/>
      <c r="H33" s="93" t="s">
        <v>81</v>
      </c>
      <c r="I33" s="72"/>
      <c r="J33" s="61"/>
      <c r="K33" s="61"/>
      <c r="L33" s="55"/>
      <c r="M33" s="55">
        <v>4</v>
      </c>
      <c r="N33" s="49"/>
    </row>
    <row r="34" spans="1:14" s="73" customFormat="1" ht="18" customHeight="1" x14ac:dyDescent="0.2">
      <c r="A34" s="407"/>
      <c r="B34" s="460"/>
      <c r="C34" s="93" t="s">
        <v>79</v>
      </c>
      <c r="D34" s="97"/>
      <c r="E34" s="484"/>
      <c r="F34" s="408"/>
      <c r="G34" s="98"/>
      <c r="H34" s="93" t="s">
        <v>84</v>
      </c>
      <c r="I34" s="72"/>
      <c r="J34" s="61"/>
      <c r="K34" s="61"/>
      <c r="L34" s="55"/>
      <c r="M34" s="55">
        <v>1</v>
      </c>
      <c r="N34" s="82"/>
    </row>
    <row r="35" spans="1:14" s="7" customFormat="1" ht="17.5" customHeight="1" x14ac:dyDescent="0.2">
      <c r="A35" s="407"/>
      <c r="B35" s="460"/>
      <c r="D35" s="276"/>
      <c r="E35" s="484"/>
      <c r="F35" s="408"/>
      <c r="G35" s="95"/>
      <c r="H35" s="99" t="s">
        <v>86</v>
      </c>
      <c r="I35" s="72"/>
      <c r="J35" s="94"/>
      <c r="K35" s="94"/>
      <c r="L35" s="55"/>
      <c r="M35" s="55">
        <v>4</v>
      </c>
      <c r="N35" s="82"/>
    </row>
    <row r="36" spans="1:14" s="73" customFormat="1" ht="18" customHeight="1" x14ac:dyDescent="0.2">
      <c r="A36" s="407"/>
      <c r="B36" s="329"/>
      <c r="D36" s="97"/>
      <c r="E36" s="485"/>
      <c r="F36" s="408"/>
      <c r="G36" s="41"/>
      <c r="H36" s="91" t="s">
        <v>88</v>
      </c>
      <c r="I36" s="187"/>
      <c r="J36" s="61"/>
      <c r="K36" s="61"/>
      <c r="L36" s="100"/>
      <c r="M36" s="54">
        <v>4</v>
      </c>
      <c r="N36" s="82"/>
    </row>
    <row r="37" spans="1:14" s="73" customFormat="1" ht="18" customHeight="1" x14ac:dyDescent="0.2">
      <c r="A37" s="407"/>
      <c r="B37" s="104"/>
      <c r="C37" s="196"/>
      <c r="D37" s="105"/>
      <c r="E37" s="106"/>
      <c r="F37" s="408"/>
      <c r="G37" s="41"/>
      <c r="H37" s="101" t="s">
        <v>89</v>
      </c>
      <c r="I37" s="185"/>
      <c r="J37" s="94"/>
      <c r="K37" s="102"/>
      <c r="L37" s="103"/>
      <c r="M37" s="186">
        <v>1</v>
      </c>
      <c r="N37" s="82"/>
    </row>
    <row r="38" spans="1:14" s="73" customFormat="1" ht="18" customHeight="1" x14ac:dyDescent="0.2">
      <c r="A38" s="415"/>
      <c r="B38" s="107"/>
      <c r="C38" s="197"/>
      <c r="D38" s="70"/>
      <c r="E38" s="108"/>
      <c r="F38" s="412"/>
      <c r="G38" s="41"/>
      <c r="H38" s="409" t="s">
        <v>90</v>
      </c>
      <c r="I38" s="410"/>
      <c r="J38" s="410"/>
      <c r="K38" s="410"/>
      <c r="L38" s="410"/>
      <c r="M38" s="411"/>
      <c r="N38" s="82"/>
    </row>
    <row r="39" spans="1:14" s="73" customFormat="1" ht="17.25" customHeight="1" x14ac:dyDescent="0.25">
      <c r="A39" s="90"/>
      <c r="B39" s="27" t="s">
        <v>50</v>
      </c>
      <c r="C39" s="28" t="s">
        <v>19</v>
      </c>
      <c r="D39" s="28" t="s">
        <v>20</v>
      </c>
      <c r="E39" s="28" t="s">
        <v>21</v>
      </c>
      <c r="F39" s="29"/>
      <c r="G39" s="30"/>
      <c r="H39" s="93" t="s">
        <v>91</v>
      </c>
      <c r="I39" s="72"/>
      <c r="J39" s="61"/>
      <c r="K39" s="61"/>
      <c r="L39" s="55"/>
      <c r="M39" s="55">
        <v>4</v>
      </c>
      <c r="N39" s="82"/>
    </row>
    <row r="40" spans="1:14" s="73" customFormat="1" ht="24" customHeight="1" x14ac:dyDescent="0.2">
      <c r="A40" s="32"/>
      <c r="B40" s="109" t="s">
        <v>92</v>
      </c>
      <c r="C40" s="33" t="s">
        <v>27</v>
      </c>
      <c r="D40" s="33" t="s">
        <v>92</v>
      </c>
      <c r="E40" s="34" t="s">
        <v>27</v>
      </c>
      <c r="F40" s="35"/>
      <c r="G40" s="36"/>
      <c r="H40" s="93" t="s">
        <v>93</v>
      </c>
      <c r="I40" s="72"/>
      <c r="J40" s="61"/>
      <c r="K40" s="61"/>
      <c r="L40" s="55"/>
      <c r="M40" s="55">
        <v>1</v>
      </c>
      <c r="N40" s="82"/>
    </row>
    <row r="41" spans="1:14" s="73" customFormat="1" ht="18" customHeight="1" x14ac:dyDescent="0.2">
      <c r="A41" s="499" t="s">
        <v>94</v>
      </c>
      <c r="B41" s="483" t="s">
        <v>55</v>
      </c>
      <c r="C41" s="184" t="s">
        <v>79</v>
      </c>
      <c r="D41" s="184" t="s">
        <v>73</v>
      </c>
      <c r="E41" s="483" t="s">
        <v>55</v>
      </c>
      <c r="F41" s="377" t="s">
        <v>94</v>
      </c>
      <c r="G41" s="95"/>
      <c r="H41" s="93" t="s">
        <v>97</v>
      </c>
      <c r="I41" s="72"/>
      <c r="J41" s="61"/>
      <c r="K41" s="61"/>
      <c r="L41" s="55"/>
      <c r="M41" s="55">
        <v>4</v>
      </c>
      <c r="N41" s="49"/>
    </row>
    <row r="42" spans="1:14" s="73" customFormat="1" ht="18" customHeight="1" x14ac:dyDescent="0.2">
      <c r="A42" s="414"/>
      <c r="B42" s="484"/>
      <c r="C42" s="289" t="s">
        <v>191</v>
      </c>
      <c r="D42" s="184" t="s">
        <v>99</v>
      </c>
      <c r="E42" s="484"/>
      <c r="F42" s="408"/>
      <c r="G42" s="110"/>
      <c r="H42" s="93" t="s">
        <v>100</v>
      </c>
      <c r="I42" s="72"/>
      <c r="J42" s="61"/>
      <c r="K42" s="61"/>
      <c r="L42" s="55"/>
      <c r="M42" s="55">
        <v>4</v>
      </c>
      <c r="N42" s="82"/>
    </row>
    <row r="43" spans="1:14" s="7" customFormat="1" ht="18" customHeight="1" x14ac:dyDescent="0.2">
      <c r="A43" s="414"/>
      <c r="B43" s="484"/>
      <c r="C43" s="287" t="s">
        <v>96</v>
      </c>
      <c r="E43" s="484"/>
      <c r="F43" s="408"/>
      <c r="G43" s="111"/>
      <c r="H43" s="399" t="s">
        <v>102</v>
      </c>
      <c r="I43" s="400"/>
      <c r="J43" s="400"/>
      <c r="K43" s="400"/>
      <c r="L43" s="400"/>
      <c r="M43" s="400"/>
      <c r="N43" s="401"/>
    </row>
    <row r="44" spans="1:14" s="73" customFormat="1" ht="18" customHeight="1" x14ac:dyDescent="0.2">
      <c r="A44" s="414"/>
      <c r="B44" s="503"/>
      <c r="C44" s="93" t="s">
        <v>98</v>
      </c>
      <c r="E44" s="484"/>
      <c r="F44" s="408"/>
      <c r="G44" s="111"/>
      <c r="H44" s="93" t="s">
        <v>104</v>
      </c>
      <c r="I44" s="187"/>
      <c r="J44" s="259"/>
      <c r="K44" s="259"/>
      <c r="L44" s="262"/>
      <c r="M44" s="262">
        <v>1</v>
      </c>
      <c r="N44" s="86"/>
    </row>
    <row r="45" spans="1:14" s="73" customFormat="1" ht="19.5" customHeight="1" x14ac:dyDescent="0.2">
      <c r="A45" s="414"/>
      <c r="B45" s="503"/>
      <c r="C45" s="62" t="s">
        <v>87</v>
      </c>
      <c r="E45" s="484"/>
      <c r="F45" s="408"/>
      <c r="G45" s="41"/>
      <c r="H45" s="93" t="s">
        <v>105</v>
      </c>
      <c r="I45" s="72"/>
      <c r="J45" s="259"/>
      <c r="K45" s="259"/>
      <c r="L45" s="262"/>
      <c r="M45" s="262">
        <v>4</v>
      </c>
      <c r="N45" s="113"/>
    </row>
    <row r="46" spans="1:14" s="73" customFormat="1" ht="19.5" customHeight="1" x14ac:dyDescent="0.2">
      <c r="A46" s="414"/>
      <c r="B46" s="347"/>
      <c r="C46" s="288"/>
      <c r="E46" s="485"/>
      <c r="F46" s="408"/>
      <c r="G46" s="41"/>
      <c r="H46" s="399" t="s">
        <v>106</v>
      </c>
      <c r="I46" s="400"/>
      <c r="J46" s="400"/>
      <c r="K46" s="400"/>
      <c r="L46" s="400"/>
      <c r="M46" s="400"/>
      <c r="N46" s="401"/>
    </row>
    <row r="47" spans="1:14" s="73" customFormat="1" ht="18" customHeight="1" x14ac:dyDescent="0.2">
      <c r="A47" s="414"/>
      <c r="B47" s="286"/>
      <c r="C47" s="288"/>
      <c r="E47" s="198"/>
      <c r="F47" s="408"/>
      <c r="G47" s="41"/>
      <c r="H47" s="93" t="s">
        <v>107</v>
      </c>
      <c r="I47" s="72"/>
      <c r="J47" s="259"/>
      <c r="K47" s="259"/>
      <c r="L47" s="262"/>
      <c r="M47" s="262">
        <v>4</v>
      </c>
      <c r="N47" s="76"/>
    </row>
    <row r="48" spans="1:14" s="115" customFormat="1" ht="18.75" customHeight="1" x14ac:dyDescent="0.2">
      <c r="A48" s="421"/>
      <c r="B48" s="114"/>
      <c r="C48" s="70"/>
      <c r="E48" s="199"/>
      <c r="F48" s="495"/>
      <c r="G48" s="41"/>
      <c r="H48" s="93" t="s">
        <v>107</v>
      </c>
      <c r="I48" s="72"/>
      <c r="J48" s="259"/>
      <c r="K48" s="259"/>
      <c r="L48" s="262"/>
      <c r="M48" s="262">
        <v>4</v>
      </c>
      <c r="N48" s="76"/>
    </row>
    <row r="49" spans="1:14" s="115" customFormat="1" ht="16.5" customHeight="1" x14ac:dyDescent="0.25">
      <c r="A49" s="90"/>
      <c r="B49" s="27" t="s">
        <v>50</v>
      </c>
      <c r="C49" s="28" t="s">
        <v>19</v>
      </c>
      <c r="D49" s="28" t="s">
        <v>20</v>
      </c>
      <c r="E49" s="28" t="s">
        <v>21</v>
      </c>
      <c r="F49" s="29"/>
      <c r="G49" s="30"/>
      <c r="H49" s="93" t="s">
        <v>107</v>
      </c>
      <c r="I49" s="190"/>
      <c r="J49" s="259"/>
      <c r="K49" s="259"/>
      <c r="L49" s="262"/>
      <c r="M49" s="262">
        <v>4</v>
      </c>
      <c r="N49" s="82"/>
    </row>
    <row r="50" spans="1:14" s="115" customFormat="1" ht="21" customHeight="1" x14ac:dyDescent="0.2">
      <c r="A50" s="32"/>
      <c r="B50" s="33" t="s">
        <v>27</v>
      </c>
      <c r="C50" s="33" t="s">
        <v>27</v>
      </c>
      <c r="D50" s="33" t="s">
        <v>27</v>
      </c>
      <c r="E50" s="34" t="s">
        <v>27</v>
      </c>
      <c r="F50" s="35"/>
      <c r="G50" s="36"/>
      <c r="H50" s="93" t="s">
        <v>107</v>
      </c>
      <c r="I50" s="190"/>
      <c r="J50" s="259"/>
      <c r="K50" s="259"/>
      <c r="L50" s="262"/>
      <c r="M50" s="262">
        <v>4</v>
      </c>
      <c r="N50" s="86"/>
    </row>
    <row r="51" spans="1:14" s="115" customFormat="1" ht="19.5" customHeight="1" x14ac:dyDescent="0.2">
      <c r="A51" s="406" t="s">
        <v>192</v>
      </c>
      <c r="B51" s="500" t="s">
        <v>55</v>
      </c>
      <c r="C51" s="226" t="s">
        <v>95</v>
      </c>
      <c r="D51" s="188"/>
      <c r="E51" s="119"/>
      <c r="F51" s="377" t="s">
        <v>192</v>
      </c>
      <c r="G51" s="120"/>
      <c r="H51" s="261" t="s">
        <v>111</v>
      </c>
      <c r="I51" s="116"/>
      <c r="J51" s="112"/>
      <c r="K51" s="112"/>
      <c r="L51" s="112"/>
      <c r="M51" s="117"/>
      <c r="N51" s="118"/>
    </row>
    <row r="52" spans="1:14" s="115" customFormat="1" ht="19.5" customHeight="1" x14ac:dyDescent="0.2">
      <c r="A52" s="504"/>
      <c r="B52" s="501"/>
      <c r="C52" s="226" t="s">
        <v>101</v>
      </c>
      <c r="D52" s="124"/>
      <c r="E52" s="119"/>
      <c r="F52" s="506"/>
      <c r="G52" s="41"/>
      <c r="H52" s="93" t="s">
        <v>113</v>
      </c>
      <c r="I52" s="190"/>
      <c r="J52" s="259"/>
      <c r="K52" s="259"/>
      <c r="L52" s="262"/>
      <c r="M52" s="262">
        <v>3</v>
      </c>
      <c r="N52" s="121"/>
    </row>
    <row r="53" spans="1:14" s="115" customFormat="1" ht="17.5" customHeight="1" x14ac:dyDescent="0.2">
      <c r="A53" s="504"/>
      <c r="B53" s="501"/>
      <c r="C53" s="307" t="s">
        <v>82</v>
      </c>
      <c r="D53" s="124"/>
      <c r="E53" s="119"/>
      <c r="F53" s="506"/>
      <c r="G53" s="85"/>
      <c r="H53" s="93" t="s">
        <v>115</v>
      </c>
      <c r="I53" s="190"/>
      <c r="J53" s="259"/>
      <c r="K53" s="259"/>
      <c r="L53" s="262">
        <v>1</v>
      </c>
      <c r="M53" s="262">
        <v>3</v>
      </c>
      <c r="N53" s="82"/>
    </row>
    <row r="54" spans="1:14" s="115" customFormat="1" ht="18.75" customHeight="1" x14ac:dyDescent="0.2">
      <c r="A54" s="504"/>
      <c r="B54" s="501"/>
      <c r="C54" s="227" t="s">
        <v>103</v>
      </c>
      <c r="D54" s="124"/>
      <c r="E54" s="119"/>
      <c r="F54" s="506"/>
      <c r="G54" s="85"/>
      <c r="H54" s="93" t="s">
        <v>117</v>
      </c>
      <c r="I54" s="190"/>
      <c r="J54" s="53"/>
      <c r="K54" s="53"/>
      <c r="L54" s="55">
        <v>2</v>
      </c>
      <c r="M54" s="55">
        <v>2</v>
      </c>
      <c r="N54" s="122"/>
    </row>
    <row r="55" spans="1:14" s="115" customFormat="1" ht="18.75" customHeight="1" x14ac:dyDescent="0.2">
      <c r="A55" s="504"/>
      <c r="B55" s="501"/>
      <c r="D55" s="124"/>
      <c r="E55" s="125"/>
      <c r="F55" s="506"/>
      <c r="G55" s="41"/>
      <c r="H55" s="123"/>
      <c r="I55" s="123"/>
      <c r="J55" s="123"/>
      <c r="K55" s="123"/>
      <c r="L55" s="123"/>
      <c r="M55" s="123"/>
      <c r="N55" s="122"/>
    </row>
    <row r="56" spans="1:14" s="115" customFormat="1" ht="19.5" customHeight="1" x14ac:dyDescent="0.2">
      <c r="A56" s="504"/>
      <c r="B56" s="502"/>
      <c r="C56" s="308"/>
      <c r="D56" s="124"/>
      <c r="E56" s="125"/>
      <c r="F56" s="506"/>
      <c r="G56" s="41"/>
      <c r="H56" s="123"/>
      <c r="I56" s="123"/>
      <c r="J56" s="123"/>
      <c r="K56" s="123"/>
      <c r="L56" s="123"/>
      <c r="M56" s="123"/>
      <c r="N56" s="122"/>
    </row>
    <row r="57" spans="1:14" s="115" customFormat="1" ht="20.25" customHeight="1" x14ac:dyDescent="0.2">
      <c r="A57" s="504"/>
      <c r="C57" s="195"/>
      <c r="D57" s="124"/>
      <c r="E57" s="125"/>
      <c r="F57" s="506"/>
      <c r="G57" s="41"/>
      <c r="H57" s="123"/>
      <c r="I57" s="123"/>
      <c r="J57" s="123"/>
      <c r="K57" s="123"/>
      <c r="L57" s="123"/>
      <c r="M57" s="123"/>
      <c r="N57" s="122"/>
    </row>
    <row r="58" spans="1:14" s="115" customFormat="1" ht="20.25" customHeight="1" x14ac:dyDescent="0.2">
      <c r="A58" s="505"/>
      <c r="C58" s="114"/>
      <c r="D58" s="70"/>
      <c r="E58" s="128"/>
      <c r="F58" s="507"/>
      <c r="G58" s="85"/>
      <c r="H58" s="380" t="s">
        <v>122</v>
      </c>
      <c r="I58" s="382"/>
      <c r="J58" s="384" t="s">
        <v>23</v>
      </c>
      <c r="K58" s="386" t="s">
        <v>24</v>
      </c>
      <c r="L58" s="126"/>
      <c r="M58" s="126"/>
      <c r="N58" s="127"/>
    </row>
    <row r="59" spans="1:14" s="115" customFormat="1" ht="19.5" customHeight="1" x14ac:dyDescent="0.2">
      <c r="A59" s="131"/>
      <c r="B59" s="132"/>
      <c r="C59" s="132"/>
      <c r="D59" s="132"/>
      <c r="E59" s="132"/>
      <c r="F59" s="133"/>
      <c r="G59" s="134"/>
      <c r="H59" s="381"/>
      <c r="I59" s="383"/>
      <c r="J59" s="385"/>
      <c r="K59" s="387"/>
      <c r="L59" s="129"/>
      <c r="M59" s="129"/>
      <c r="N59" s="130"/>
    </row>
    <row r="60" spans="1:14" s="115" customFormat="1" ht="20.25" customHeight="1" x14ac:dyDescent="0.2">
      <c r="A60" s="137"/>
      <c r="B60" s="138"/>
      <c r="C60" s="138"/>
      <c r="D60" s="138"/>
      <c r="E60" s="138"/>
      <c r="F60" s="139"/>
      <c r="G60" s="253"/>
      <c r="H60" s="135" t="s">
        <v>125</v>
      </c>
      <c r="I60" s="190"/>
      <c r="J60" s="259"/>
      <c r="K60" s="259"/>
      <c r="L60" s="262"/>
      <c r="M60" s="262"/>
      <c r="N60" s="136"/>
    </row>
    <row r="61" spans="1:14" s="115" customFormat="1" ht="17.5" customHeight="1" x14ac:dyDescent="0.2">
      <c r="A61" s="138"/>
      <c r="B61" s="488" t="s">
        <v>108</v>
      </c>
      <c r="C61" s="498"/>
      <c r="D61" s="140"/>
      <c r="E61" s="140"/>
      <c r="F61" s="253"/>
      <c r="G61" s="253"/>
      <c r="H61" s="135" t="s">
        <v>127</v>
      </c>
      <c r="I61" s="190"/>
      <c r="J61" s="259"/>
      <c r="K61" s="259"/>
      <c r="L61" s="262"/>
      <c r="M61" s="262"/>
      <c r="N61" s="122"/>
    </row>
    <row r="62" spans="1:14" s="115" customFormat="1" ht="19.5" customHeight="1" x14ac:dyDescent="0.2">
      <c r="A62" s="142"/>
      <c r="B62" s="498"/>
      <c r="C62" s="498"/>
      <c r="F62" s="253"/>
      <c r="G62" s="253"/>
      <c r="H62" s="135" t="s">
        <v>129</v>
      </c>
      <c r="I62" s="190"/>
      <c r="J62" s="259"/>
      <c r="K62" s="259"/>
      <c r="L62" s="55"/>
      <c r="M62" s="55"/>
      <c r="N62" s="141"/>
    </row>
    <row r="63" spans="1:14" s="115" customFormat="1" ht="18.75" customHeight="1" x14ac:dyDescent="0.2">
      <c r="A63" s="115" t="s">
        <v>109</v>
      </c>
      <c r="B63" s="489" t="s">
        <v>110</v>
      </c>
      <c r="C63" s="497"/>
      <c r="D63" s="497"/>
      <c r="E63" s="497"/>
      <c r="F63" s="497"/>
      <c r="G63" s="253"/>
      <c r="H63" s="371" t="s">
        <v>130</v>
      </c>
      <c r="I63" s="143"/>
      <c r="J63" s="373" t="s">
        <v>23</v>
      </c>
      <c r="K63" s="375" t="s">
        <v>24</v>
      </c>
      <c r="L63" s="144"/>
      <c r="M63" s="145"/>
      <c r="N63" s="146"/>
    </row>
    <row r="64" spans="1:14" s="115" customFormat="1" ht="18" customHeight="1" x14ac:dyDescent="0.2">
      <c r="A64" s="137"/>
      <c r="B64" s="490" t="s">
        <v>112</v>
      </c>
      <c r="C64" s="497"/>
      <c r="D64" s="497"/>
      <c r="E64" s="497"/>
      <c r="F64" s="497"/>
      <c r="G64" s="253"/>
      <c r="H64" s="372"/>
      <c r="I64" s="143"/>
      <c r="J64" s="374"/>
      <c r="K64" s="376"/>
      <c r="L64" s="144"/>
      <c r="M64" s="147"/>
      <c r="N64" s="130"/>
    </row>
    <row r="65" spans="1:14" s="115" customFormat="1" ht="21" customHeight="1" x14ac:dyDescent="0.2">
      <c r="A65" s="138"/>
      <c r="B65" s="490" t="s">
        <v>114</v>
      </c>
      <c r="C65" s="497"/>
      <c r="D65" s="497"/>
      <c r="E65" s="497"/>
      <c r="F65" s="253"/>
      <c r="G65" s="253"/>
      <c r="H65" s="148" t="s">
        <v>133</v>
      </c>
      <c r="I65" s="190"/>
      <c r="J65" s="259"/>
      <c r="K65" s="259"/>
      <c r="L65" s="262"/>
      <c r="M65" s="262"/>
      <c r="N65" s="136"/>
    </row>
    <row r="66" spans="1:14" s="7" customFormat="1" ht="19.5" customHeight="1" x14ac:dyDescent="0.2">
      <c r="A66" s="138"/>
      <c r="B66" s="491" t="s">
        <v>116</v>
      </c>
      <c r="C66" s="497"/>
      <c r="D66" s="497"/>
      <c r="E66" s="497"/>
      <c r="F66" s="253"/>
      <c r="G66" s="253"/>
      <c r="H66" s="149" t="s">
        <v>135</v>
      </c>
      <c r="I66" s="188"/>
      <c r="J66" s="359"/>
      <c r="K66" s="359"/>
      <c r="L66" s="361"/>
      <c r="M66" s="361"/>
      <c r="N66" s="122"/>
    </row>
    <row r="67" spans="1:14" s="7" customFormat="1" ht="18.75" customHeight="1" x14ac:dyDescent="0.2">
      <c r="A67" s="138"/>
      <c r="B67" s="490" t="s">
        <v>118</v>
      </c>
      <c r="C67" s="497"/>
      <c r="D67" s="497"/>
      <c r="E67" s="497"/>
      <c r="F67" s="253"/>
      <c r="G67" s="253"/>
      <c r="H67" s="150" t="s">
        <v>137</v>
      </c>
      <c r="I67" s="189"/>
      <c r="J67" s="360"/>
      <c r="K67" s="360"/>
      <c r="L67" s="362"/>
      <c r="M67" s="362"/>
      <c r="N67" s="122"/>
    </row>
    <row r="68" spans="1:14" s="7" customFormat="1" ht="18.75" customHeight="1" x14ac:dyDescent="0.2">
      <c r="A68" s="138"/>
      <c r="B68" s="490" t="s">
        <v>119</v>
      </c>
      <c r="C68" s="497"/>
      <c r="D68" s="497"/>
      <c r="E68" s="497"/>
      <c r="F68" s="497"/>
      <c r="G68" s="253"/>
      <c r="H68" s="151"/>
      <c r="I68" s="136"/>
      <c r="J68" s="152"/>
      <c r="K68" s="153"/>
      <c r="L68" s="154"/>
      <c r="M68" s="154"/>
      <c r="N68" s="122"/>
    </row>
    <row r="69" spans="1:14" s="7" customFormat="1" ht="19.5" customHeight="1" x14ac:dyDescent="0.2">
      <c r="A69" s="138"/>
      <c r="B69" s="364" t="s">
        <v>120</v>
      </c>
      <c r="C69" s="365"/>
      <c r="D69" s="365"/>
      <c r="E69" s="365"/>
      <c r="F69" s="253"/>
      <c r="G69" s="253"/>
      <c r="H69" s="155"/>
      <c r="I69" s="141"/>
      <c r="J69" s="156"/>
      <c r="K69" s="157"/>
      <c r="L69" s="158"/>
      <c r="M69" s="158"/>
      <c r="N69" s="141"/>
    </row>
    <row r="70" spans="1:14" s="7" customFormat="1" ht="19" customHeight="1" x14ac:dyDescent="0.2">
      <c r="A70" s="138"/>
      <c r="B70" s="364" t="s">
        <v>121</v>
      </c>
      <c r="C70" s="365"/>
      <c r="D70" s="365"/>
      <c r="E70" s="365"/>
      <c r="F70" s="253"/>
      <c r="G70" s="253"/>
      <c r="H70" s="390" t="s">
        <v>141</v>
      </c>
      <c r="I70" s="392" t="s">
        <v>142</v>
      </c>
      <c r="J70" s="394" t="s">
        <v>23</v>
      </c>
      <c r="K70" s="395" t="s">
        <v>24</v>
      </c>
      <c r="L70" s="363" t="s">
        <v>143</v>
      </c>
      <c r="M70" s="363" t="s">
        <v>144</v>
      </c>
      <c r="N70" s="363" t="s">
        <v>145</v>
      </c>
    </row>
    <row r="71" spans="1:14" s="7" customFormat="1" ht="20.25" customHeight="1" x14ac:dyDescent="0.2">
      <c r="A71" s="138"/>
      <c r="B71" s="364" t="s">
        <v>123</v>
      </c>
      <c r="C71" s="365"/>
      <c r="D71" s="365"/>
      <c r="E71" s="365"/>
      <c r="F71" s="253"/>
      <c r="G71" s="253"/>
      <c r="H71" s="391"/>
      <c r="I71" s="496"/>
      <c r="J71" s="374"/>
      <c r="K71" s="376"/>
      <c r="L71" s="362"/>
      <c r="M71" s="362"/>
      <c r="N71" s="362"/>
    </row>
    <row r="72" spans="1:14" s="7" customFormat="1" ht="18.75" customHeight="1" x14ac:dyDescent="0.2">
      <c r="A72" s="138"/>
      <c r="B72" s="364" t="s">
        <v>124</v>
      </c>
      <c r="C72" s="365"/>
      <c r="D72" s="365"/>
      <c r="E72" s="365"/>
      <c r="F72" s="253"/>
      <c r="G72" s="253"/>
      <c r="H72" s="159" t="s">
        <v>148</v>
      </c>
      <c r="I72" s="187"/>
      <c r="J72" s="259"/>
      <c r="K72" s="259"/>
      <c r="L72" s="160"/>
      <c r="M72" s="160"/>
      <c r="N72" s="161"/>
    </row>
    <row r="73" spans="1:14" s="7" customFormat="1" ht="20.25" customHeight="1" thickBot="1" x14ac:dyDescent="0.25">
      <c r="A73" s="138"/>
      <c r="B73" s="366" t="s">
        <v>126</v>
      </c>
      <c r="C73" s="366"/>
      <c r="D73" s="366"/>
      <c r="E73" s="366"/>
      <c r="F73" s="138"/>
      <c r="G73" s="253"/>
      <c r="H73" s="159" t="s">
        <v>148</v>
      </c>
      <c r="I73" s="187"/>
      <c r="J73" s="259"/>
      <c r="K73" s="259"/>
      <c r="L73" s="160"/>
      <c r="M73" s="160"/>
      <c r="N73" s="162"/>
    </row>
    <row r="74" spans="1:14" s="7" customFormat="1" ht="19" customHeight="1" x14ac:dyDescent="0.2">
      <c r="A74" s="138"/>
      <c r="B74" s="367" t="s">
        <v>128</v>
      </c>
      <c r="C74" s="368"/>
      <c r="D74" s="368"/>
      <c r="E74" s="368"/>
      <c r="F74" s="201"/>
      <c r="G74" s="253"/>
      <c r="H74" s="159" t="s">
        <v>148</v>
      </c>
      <c r="I74" s="187"/>
      <c r="J74" s="259"/>
      <c r="K74" s="259"/>
      <c r="L74" s="160"/>
      <c r="M74" s="160"/>
      <c r="N74" s="162"/>
    </row>
    <row r="75" spans="1:14" s="7" customFormat="1" ht="19" customHeight="1" x14ac:dyDescent="0.2">
      <c r="A75" s="138"/>
      <c r="B75" s="369"/>
      <c r="C75" s="370"/>
      <c r="D75" s="370"/>
      <c r="E75" s="370"/>
      <c r="F75" s="202"/>
      <c r="G75" s="253"/>
      <c r="H75" s="159" t="s">
        <v>148</v>
      </c>
      <c r="I75" s="187"/>
      <c r="J75" s="259"/>
      <c r="K75" s="259"/>
      <c r="L75" s="160"/>
      <c r="M75" s="160"/>
      <c r="N75" s="162"/>
    </row>
    <row r="76" spans="1:14" s="7" customFormat="1" ht="18" customHeight="1" x14ac:dyDescent="0.2">
      <c r="A76" s="9"/>
      <c r="B76" s="264" t="s">
        <v>193</v>
      </c>
      <c r="C76" s="203"/>
      <c r="D76" s="203"/>
      <c r="E76" s="203"/>
      <c r="F76" s="204"/>
      <c r="G76" s="138"/>
      <c r="H76" s="77"/>
      <c r="I76" s="78"/>
      <c r="J76" s="79"/>
      <c r="K76" s="80"/>
      <c r="L76" s="77"/>
      <c r="M76" s="81"/>
      <c r="N76" s="49"/>
    </row>
    <row r="77" spans="1:14" s="7" customFormat="1" ht="17.25" customHeight="1" x14ac:dyDescent="0.2">
      <c r="A77" s="140"/>
      <c r="B77" s="205" t="s">
        <v>132</v>
      </c>
      <c r="C77" s="203"/>
      <c r="D77" s="203"/>
      <c r="E77" s="203"/>
      <c r="F77" s="206"/>
      <c r="G77" s="138"/>
      <c r="H77" s="77"/>
      <c r="I77" s="84"/>
      <c r="J77" s="79"/>
      <c r="K77" s="80"/>
      <c r="L77" s="77"/>
      <c r="M77" s="81"/>
      <c r="N77" s="49"/>
    </row>
    <row r="78" spans="1:14" s="7" customFormat="1" ht="18.75" customHeight="1" x14ac:dyDescent="0.2">
      <c r="A78" s="9"/>
      <c r="B78" s="207" t="s">
        <v>134</v>
      </c>
      <c r="C78" s="208"/>
      <c r="D78" s="209"/>
      <c r="E78" s="209"/>
      <c r="F78" s="210"/>
      <c r="G78" s="163"/>
      <c r="H78" s="77"/>
      <c r="I78" s="78"/>
      <c r="J78" s="79"/>
      <c r="K78" s="80"/>
      <c r="L78" s="77"/>
      <c r="M78" s="81"/>
      <c r="N78" s="49"/>
    </row>
    <row r="79" spans="1:14" s="7" customFormat="1" ht="18.75" customHeight="1" x14ac:dyDescent="0.2">
      <c r="A79" s="9"/>
      <c r="B79" s="207" t="s">
        <v>136</v>
      </c>
      <c r="C79" s="209"/>
      <c r="D79" s="209"/>
      <c r="E79" s="209"/>
      <c r="F79" s="210"/>
      <c r="G79" s="163"/>
      <c r="H79" s="77"/>
      <c r="I79" s="84"/>
      <c r="J79" s="79"/>
      <c r="K79" s="80"/>
      <c r="L79" s="77"/>
      <c r="M79" s="81"/>
      <c r="N79" s="49"/>
    </row>
    <row r="80" spans="1:14" s="7" customFormat="1" ht="17.25" customHeight="1" x14ac:dyDescent="0.2">
      <c r="A80" s="9"/>
      <c r="B80" s="207" t="s">
        <v>138</v>
      </c>
      <c r="C80" s="209"/>
      <c r="D80" s="209"/>
      <c r="E80" s="209"/>
      <c r="F80" s="210"/>
      <c r="G80" s="163"/>
      <c r="H80" s="77"/>
      <c r="I80" s="165"/>
      <c r="J80" s="79"/>
      <c r="K80" s="80"/>
      <c r="L80" s="77"/>
      <c r="M80" s="81"/>
      <c r="N80" s="49"/>
    </row>
    <row r="81" spans="1:14" s="7" customFormat="1" ht="19.5" customHeight="1" x14ac:dyDescent="0.2">
      <c r="A81" s="9"/>
      <c r="B81" s="207" t="s">
        <v>139</v>
      </c>
      <c r="C81" s="203"/>
      <c r="D81" s="203"/>
      <c r="E81" s="203"/>
      <c r="F81" s="211"/>
      <c r="G81" s="163"/>
      <c r="H81" s="166"/>
      <c r="I81" s="165"/>
      <c r="J81" s="167"/>
      <c r="K81" s="168"/>
      <c r="L81" s="169"/>
      <c r="M81" s="81"/>
      <c r="N81" s="13"/>
    </row>
    <row r="82" spans="1:14" s="7" customFormat="1" ht="17.25" customHeight="1" x14ac:dyDescent="0.2">
      <c r="A82" s="9"/>
      <c r="B82" s="388" t="s">
        <v>140</v>
      </c>
      <c r="C82" s="389"/>
      <c r="D82" s="389"/>
      <c r="F82" s="211"/>
      <c r="G82" s="163"/>
      <c r="H82" s="346" t="s">
        <v>157</v>
      </c>
      <c r="I82" s="327"/>
      <c r="J82" s="348" t="s">
        <v>158</v>
      </c>
      <c r="K82" s="349"/>
      <c r="L82" s="350"/>
      <c r="M82" s="351">
        <v>30</v>
      </c>
      <c r="N82" s="352"/>
    </row>
    <row r="83" spans="1:14" s="7" customFormat="1" ht="18.75" customHeight="1" x14ac:dyDescent="0.2">
      <c r="A83" s="9"/>
      <c r="B83" s="207" t="s">
        <v>146</v>
      </c>
      <c r="C83" s="209"/>
      <c r="D83" s="209"/>
      <c r="E83" s="209"/>
      <c r="F83" s="211"/>
      <c r="G83" s="163"/>
      <c r="H83" s="347"/>
      <c r="I83" s="329"/>
      <c r="J83" s="348" t="s">
        <v>159</v>
      </c>
      <c r="K83" s="349"/>
      <c r="L83" s="350"/>
      <c r="M83" s="321">
        <f>SUMIF(J9:J57,"A",L9:L57)+SUMIF(J9:J57,"A-",L9:L57)+SUMIF(J11:J57,"B+",L11:L57)+SUMIF(J11:J57,"B",L11:L57)+SUMIF(J11:J57,"B-",L11:L57)+SUMIF(J11:J57,"C+",L11:L57)+SUMIF(J11:J57,"C",L11:L57)+SUMIF(J11:J57,"C-",L11:L57)+SUMIF(J11:J57,"D+",L11:L57)+SUMIF(J11:J57,"D",L11:L57)+SUMIF(J11:J57,"D-",L11:L57)+SUMIF(J11:J57,"T",L11:L57)+SUMIF(J11:J57,"AP",L11:L57)+SUMIF(J11:J57,"IB",L11:L57)</f>
        <v>0</v>
      </c>
      <c r="N83" s="322"/>
    </row>
    <row r="84" spans="1:14" s="9" customFormat="1" ht="18" customHeight="1" x14ac:dyDescent="0.2">
      <c r="B84" s="212" t="s">
        <v>147</v>
      </c>
      <c r="F84" s="213"/>
      <c r="G84" s="170"/>
      <c r="H84" s="346" t="s">
        <v>160</v>
      </c>
      <c r="I84" s="327"/>
      <c r="J84" s="348" t="s">
        <v>161</v>
      </c>
      <c r="K84" s="349"/>
      <c r="L84" s="350"/>
      <c r="M84" s="351">
        <v>68</v>
      </c>
      <c r="N84" s="352"/>
    </row>
    <row r="85" spans="1:14" s="7" customFormat="1" ht="18" customHeight="1" x14ac:dyDescent="0.2">
      <c r="A85" s="9"/>
      <c r="B85" s="207" t="s">
        <v>149</v>
      </c>
      <c r="C85" s="209"/>
      <c r="D85" s="209"/>
      <c r="E85" s="209"/>
      <c r="F85" s="211"/>
      <c r="G85" s="163"/>
      <c r="H85" s="347"/>
      <c r="I85" s="329"/>
      <c r="J85" s="348" t="s">
        <v>159</v>
      </c>
      <c r="K85" s="349"/>
      <c r="L85" s="350"/>
      <c r="M85" s="321">
        <f>SUMIF(J11:J57,"A",M11:M57)+SUMIF(J11:J57,"A-",M11:M57)+SUMIF(J11:J57,"B+",M11:M57)+SUMIF(J11:J57,"B",M11:M57)+SUMIF(J11:J57,"B-",M11:M57)+SUMIF(J11:J57,"C+",M11:M57)+SUMIF(J11:J57,"C",M11:M57)+SUMIF(J11:J57,"C-",M11:M57)+SUMIF(J11:J57,"D+",M11:M57)+SUMIF(J11:J57,"D",M11:M57)+SUMIF(J11:J57,"D-",M11:M57)+SUMIF(J11:J57,"T",M11:M57)+SUMIF(J11:J57,"AP",M11:M57)+SUMIF(J11:J57,"IB",M11:M57)</f>
        <v>0</v>
      </c>
      <c r="N85" s="322"/>
    </row>
    <row r="86" spans="1:14" s="7" customFormat="1" ht="15" customHeight="1" x14ac:dyDescent="0.2">
      <c r="A86" s="9"/>
      <c r="B86" s="212" t="s">
        <v>150</v>
      </c>
      <c r="C86" s="214"/>
      <c r="D86" s="214"/>
      <c r="E86" s="214"/>
      <c r="F86" s="211"/>
      <c r="G86" s="163"/>
      <c r="H86" s="346" t="s">
        <v>24</v>
      </c>
      <c r="I86" s="327"/>
      <c r="J86" s="348" t="s">
        <v>161</v>
      </c>
      <c r="K86" s="349"/>
      <c r="L86" s="350"/>
      <c r="M86" s="351">
        <v>135</v>
      </c>
      <c r="N86" s="352"/>
    </row>
    <row r="87" spans="1:14" s="7" customFormat="1" ht="16" x14ac:dyDescent="0.2">
      <c r="A87" s="9"/>
      <c r="B87" s="207" t="s">
        <v>151</v>
      </c>
      <c r="C87" s="209"/>
      <c r="D87" s="209"/>
      <c r="E87" s="209"/>
      <c r="F87" s="211"/>
      <c r="G87" s="163"/>
      <c r="H87" s="347"/>
      <c r="I87" s="329"/>
      <c r="J87" s="348" t="s">
        <v>159</v>
      </c>
      <c r="K87" s="349"/>
      <c r="L87" s="350"/>
      <c r="M87" s="321">
        <f>SUM(K11:K81)</f>
        <v>0</v>
      </c>
      <c r="N87" s="322"/>
    </row>
    <row r="88" spans="1:14" s="7" customFormat="1" ht="16" x14ac:dyDescent="0.2">
      <c r="A88" s="9"/>
      <c r="B88" s="215" t="s">
        <v>152</v>
      </c>
      <c r="C88" s="216"/>
      <c r="D88" s="216"/>
      <c r="E88" s="216"/>
      <c r="F88" s="211"/>
      <c r="G88" s="163"/>
      <c r="H88" s="6"/>
      <c r="J88" s="8"/>
      <c r="M88" s="9"/>
    </row>
    <row r="89" spans="1:14" s="7" customFormat="1" ht="15" customHeight="1" x14ac:dyDescent="0.2">
      <c r="A89" s="9"/>
      <c r="B89" s="217" t="s">
        <v>153</v>
      </c>
      <c r="C89" s="216"/>
      <c r="D89" s="216"/>
      <c r="E89" s="216"/>
      <c r="F89" s="211"/>
      <c r="G89" s="163"/>
      <c r="H89" s="323" t="s">
        <v>166</v>
      </c>
      <c r="I89" s="324"/>
      <c r="J89" s="325"/>
      <c r="K89" s="326"/>
      <c r="L89" s="326"/>
      <c r="M89" s="326"/>
      <c r="N89" s="327"/>
    </row>
    <row r="90" spans="1:14" s="7" customFormat="1" ht="16" x14ac:dyDescent="0.2">
      <c r="A90" s="9"/>
      <c r="B90" s="218" t="s">
        <v>154</v>
      </c>
      <c r="F90" s="211"/>
      <c r="G90" s="163"/>
      <c r="H90" s="330" t="s">
        <v>167</v>
      </c>
      <c r="I90" s="331"/>
      <c r="J90" s="328"/>
      <c r="K90" s="328"/>
      <c r="L90" s="328"/>
      <c r="M90" s="328"/>
      <c r="N90" s="329"/>
    </row>
    <row r="91" spans="1:14" s="7" customFormat="1" ht="15" x14ac:dyDescent="0.2">
      <c r="A91" s="9"/>
      <c r="B91" s="225" t="s">
        <v>155</v>
      </c>
      <c r="F91" s="211"/>
      <c r="G91" s="163"/>
      <c r="H91" s="330"/>
      <c r="I91" s="332"/>
      <c r="J91" s="339" t="s">
        <v>159</v>
      </c>
      <c r="K91" s="340"/>
      <c r="L91" s="340"/>
      <c r="M91" s="341">
        <f>SUMIF(J11:J81, "AP",K11:K81)+SUMIF(J11:J81,"IB",K11:K81)</f>
        <v>0</v>
      </c>
      <c r="N91" s="342"/>
    </row>
    <row r="92" spans="1:14" s="7" customFormat="1" ht="16" x14ac:dyDescent="0.2">
      <c r="A92" s="9"/>
      <c r="B92" s="207" t="s">
        <v>156</v>
      </c>
      <c r="C92" s="209"/>
      <c r="D92" s="209"/>
      <c r="E92" s="209"/>
      <c r="F92" s="219"/>
      <c r="G92" s="163"/>
      <c r="H92" s="333"/>
      <c r="I92" s="334"/>
      <c r="J92" s="339" t="s">
        <v>169</v>
      </c>
      <c r="K92" s="340"/>
      <c r="L92" s="340"/>
      <c r="M92" s="343">
        <v>32</v>
      </c>
      <c r="N92" s="344"/>
    </row>
    <row r="93" spans="1:14" s="7" customFormat="1" ht="16" x14ac:dyDescent="0.2">
      <c r="A93" s="9"/>
      <c r="B93" s="220"/>
      <c r="C93" s="221"/>
      <c r="D93" s="221"/>
      <c r="E93" s="209"/>
      <c r="F93" s="219"/>
      <c r="G93" s="163"/>
      <c r="H93" s="335"/>
      <c r="I93" s="336"/>
      <c r="J93" s="316" t="s">
        <v>171</v>
      </c>
      <c r="K93" s="317"/>
      <c r="L93" s="318"/>
      <c r="M93" s="319"/>
      <c r="N93" s="320"/>
    </row>
    <row r="94" spans="1:14" s="7" customFormat="1" ht="17" thickBot="1" x14ac:dyDescent="0.25">
      <c r="A94" s="9"/>
      <c r="B94" s="222"/>
      <c r="C94" s="223"/>
      <c r="D94" s="223"/>
      <c r="E94" s="223"/>
      <c r="F94" s="224"/>
      <c r="G94" s="163"/>
      <c r="H94" s="6"/>
      <c r="J94" s="8"/>
      <c r="M94" s="9"/>
    </row>
    <row r="95" spans="1:14" s="7" customFormat="1" x14ac:dyDescent="0.2">
      <c r="A95" s="9"/>
      <c r="G95" s="163"/>
      <c r="H95" s="6"/>
      <c r="J95" s="8"/>
      <c r="M95" s="9"/>
    </row>
    <row r="96" spans="1:14" s="7" customFormat="1" x14ac:dyDescent="0.2">
      <c r="A96" s="9"/>
      <c r="G96" s="163"/>
      <c r="H96" s="6"/>
      <c r="J96" s="8"/>
      <c r="M96" s="9"/>
    </row>
    <row r="97" spans="1:14" s="7" customFormat="1" ht="15" x14ac:dyDescent="0.2">
      <c r="A97" s="9"/>
      <c r="B97" s="353" t="s">
        <v>162</v>
      </c>
      <c r="C97" s="354"/>
      <c r="D97" s="171" t="s">
        <v>163</v>
      </c>
      <c r="E97" s="172"/>
      <c r="G97" s="163"/>
      <c r="H97" s="6"/>
      <c r="J97" s="8"/>
      <c r="M97" s="9"/>
    </row>
    <row r="98" spans="1:14" s="7" customFormat="1" ht="15" x14ac:dyDescent="0.2">
      <c r="A98" s="9"/>
      <c r="B98" s="355"/>
      <c r="C98" s="356"/>
      <c r="D98" s="173" t="s">
        <v>164</v>
      </c>
      <c r="E98" s="174"/>
      <c r="G98" s="163"/>
      <c r="H98" s="6"/>
      <c r="J98" s="8"/>
      <c r="M98" s="9"/>
    </row>
    <row r="99" spans="1:14" ht="15" x14ac:dyDescent="0.2">
      <c r="B99" s="355"/>
      <c r="C99" s="356"/>
      <c r="D99" s="173" t="s">
        <v>165</v>
      </c>
      <c r="E99" s="175"/>
      <c r="H99" s="6"/>
      <c r="I99" s="7"/>
      <c r="J99" s="8"/>
      <c r="K99" s="7"/>
      <c r="L99" s="7"/>
      <c r="M99" s="9"/>
      <c r="N99" s="7"/>
    </row>
    <row r="100" spans="1:14" ht="15" x14ac:dyDescent="0.2">
      <c r="B100" s="355"/>
      <c r="C100" s="356"/>
      <c r="D100" s="176"/>
      <c r="E100" s="177"/>
    </row>
    <row r="101" spans="1:14" ht="15" x14ac:dyDescent="0.2">
      <c r="B101" s="355"/>
      <c r="C101" s="356"/>
      <c r="D101" s="176"/>
      <c r="E101" s="177"/>
    </row>
    <row r="102" spans="1:14" ht="15" x14ac:dyDescent="0.2">
      <c r="B102" s="357"/>
      <c r="C102" s="358"/>
      <c r="D102" s="176"/>
      <c r="E102" s="177"/>
    </row>
    <row r="105" spans="1:14" ht="24.75" customHeight="1" x14ac:dyDescent="0.25">
      <c r="B105" s="337" t="s">
        <v>168</v>
      </c>
      <c r="C105" s="337"/>
      <c r="D105" s="337"/>
      <c r="G105" s="1"/>
    </row>
    <row r="106" spans="1:14" ht="171" customHeight="1" x14ac:dyDescent="0.2">
      <c r="B106" s="2"/>
      <c r="C106" s="345" t="s">
        <v>170</v>
      </c>
      <c r="D106" s="345"/>
      <c r="E106" s="345"/>
      <c r="F106" s="345"/>
      <c r="G106" s="1"/>
    </row>
    <row r="107" spans="1:14" ht="16" x14ac:dyDescent="0.2">
      <c r="B107" s="2"/>
      <c r="C107" s="290" t="s">
        <v>172</v>
      </c>
      <c r="G107" s="1"/>
    </row>
    <row r="108" spans="1:14" ht="32" x14ac:dyDescent="0.2">
      <c r="B108" s="2"/>
      <c r="C108" s="290" t="s">
        <v>173</v>
      </c>
      <c r="G108" s="1"/>
    </row>
    <row r="109" spans="1:14" ht="151.5" customHeight="1" x14ac:dyDescent="0.2">
      <c r="B109" s="2"/>
      <c r="C109" s="290" t="s">
        <v>174</v>
      </c>
      <c r="D109" s="290" t="s">
        <v>175</v>
      </c>
      <c r="E109" s="290" t="s">
        <v>176</v>
      </c>
      <c r="F109" s="290" t="s">
        <v>177</v>
      </c>
      <c r="G109" s="290" t="s">
        <v>178</v>
      </c>
    </row>
    <row r="110" spans="1:14" ht="186" customHeight="1" x14ac:dyDescent="0.2">
      <c r="B110" s="2"/>
      <c r="C110" s="290" t="s">
        <v>179</v>
      </c>
      <c r="D110" s="290" t="s">
        <v>180</v>
      </c>
      <c r="E110" s="290" t="s">
        <v>181</v>
      </c>
      <c r="F110" s="290" t="s">
        <v>182</v>
      </c>
      <c r="G110" s="290" t="s">
        <v>183</v>
      </c>
    </row>
  </sheetData>
  <sheetProtection formatCells="0" formatColumns="0" formatRows="0" insertHyperlinks="0"/>
  <mergeCells count="112">
    <mergeCell ref="C106:F106"/>
    <mergeCell ref="B105:D105"/>
    <mergeCell ref="B97:C102"/>
    <mergeCell ref="B74:E75"/>
    <mergeCell ref="B82:D82"/>
    <mergeCell ref="H89:I89"/>
    <mergeCell ref="J89:N90"/>
    <mergeCell ref="H90:I93"/>
    <mergeCell ref="J91:L91"/>
    <mergeCell ref="M91:N91"/>
    <mergeCell ref="J92:L92"/>
    <mergeCell ref="M92:N92"/>
    <mergeCell ref="J93:L93"/>
    <mergeCell ref="M93:N93"/>
    <mergeCell ref="H84:I85"/>
    <mergeCell ref="J84:L84"/>
    <mergeCell ref="M84:N84"/>
    <mergeCell ref="J85:L85"/>
    <mergeCell ref="M85:N85"/>
    <mergeCell ref="H86:I87"/>
    <mergeCell ref="J86:L86"/>
    <mergeCell ref="M86:N86"/>
    <mergeCell ref="J87:L87"/>
    <mergeCell ref="M87:N87"/>
    <mergeCell ref="H82:I83"/>
    <mergeCell ref="J82:L82"/>
    <mergeCell ref="B72:E72"/>
    <mergeCell ref="B70:E70"/>
    <mergeCell ref="B71:E71"/>
    <mergeCell ref="L66:L67"/>
    <mergeCell ref="M66:M67"/>
    <mergeCell ref="B66:E66"/>
    <mergeCell ref="M82:N82"/>
    <mergeCell ref="J83:L83"/>
    <mergeCell ref="M83:N83"/>
    <mergeCell ref="K70:K71"/>
    <mergeCell ref="L70:L71"/>
    <mergeCell ref="M70:M71"/>
    <mergeCell ref="N70:N71"/>
    <mergeCell ref="B68:F68"/>
    <mergeCell ref="B69:E69"/>
    <mergeCell ref="H70:H71"/>
    <mergeCell ref="I70:I71"/>
    <mergeCell ref="J70:J71"/>
    <mergeCell ref="B73:E73"/>
    <mergeCell ref="B61:C62"/>
    <mergeCell ref="H63:H64"/>
    <mergeCell ref="J63:J64"/>
    <mergeCell ref="K63:K64"/>
    <mergeCell ref="B63:F63"/>
    <mergeCell ref="B64:F64"/>
    <mergeCell ref="B67:E67"/>
    <mergeCell ref="A51:A58"/>
    <mergeCell ref="F51:F58"/>
    <mergeCell ref="H58:H59"/>
    <mergeCell ref="I58:I59"/>
    <mergeCell ref="J58:J59"/>
    <mergeCell ref="K58:K59"/>
    <mergeCell ref="B65:E65"/>
    <mergeCell ref="J66:J67"/>
    <mergeCell ref="K66:K67"/>
    <mergeCell ref="A41:A48"/>
    <mergeCell ref="E41:E46"/>
    <mergeCell ref="B51:B56"/>
    <mergeCell ref="F41:F48"/>
    <mergeCell ref="H43:N43"/>
    <mergeCell ref="H46:N46"/>
    <mergeCell ref="J27:J28"/>
    <mergeCell ref="K27:K28"/>
    <mergeCell ref="L27:L28"/>
    <mergeCell ref="M27:M28"/>
    <mergeCell ref="A31:A38"/>
    <mergeCell ref="B41:B46"/>
    <mergeCell ref="E31:E36"/>
    <mergeCell ref="F31:F38"/>
    <mergeCell ref="H32:M32"/>
    <mergeCell ref="H38:M38"/>
    <mergeCell ref="A21:A28"/>
    <mergeCell ref="B31:B36"/>
    <mergeCell ref="E21:E26"/>
    <mergeCell ref="F21:F28"/>
    <mergeCell ref="H27:H28"/>
    <mergeCell ref="I27:I28"/>
    <mergeCell ref="H9:H10"/>
    <mergeCell ref="I9:I10"/>
    <mergeCell ref="B5:C5"/>
    <mergeCell ref="B6:C6"/>
    <mergeCell ref="J9:J10"/>
    <mergeCell ref="K9:K10"/>
    <mergeCell ref="L9:L10"/>
    <mergeCell ref="M9:M10"/>
    <mergeCell ref="A11:A18"/>
    <mergeCell ref="F11:F18"/>
    <mergeCell ref="J11:J12"/>
    <mergeCell ref="K11:K12"/>
    <mergeCell ref="L11:L12"/>
    <mergeCell ref="B1:D1"/>
    <mergeCell ref="H1:M1"/>
    <mergeCell ref="B2:C2"/>
    <mergeCell ref="N2:N8"/>
    <mergeCell ref="D4:E4"/>
    <mergeCell ref="B7:C7"/>
    <mergeCell ref="B8:C8"/>
    <mergeCell ref="D2:E3"/>
    <mergeCell ref="H2:M3"/>
    <mergeCell ref="H4:M5"/>
    <mergeCell ref="D5:E6"/>
    <mergeCell ref="H6:M7"/>
    <mergeCell ref="D7:E8"/>
    <mergeCell ref="H8:M8"/>
    <mergeCell ref="B3:C3"/>
    <mergeCell ref="B4:C4"/>
  </mergeCells>
  <hyperlinks>
    <hyperlink ref="B4:C4" r:id="rId1" display="Please refer to the academic catalog for more detailed information on each course" xr:uid="{5FE08F72-C9AF-46BD-B206-17059948A45E}"/>
  </hyperlinks>
  <pageMargins left="0.45" right="0.45" top="0.5" bottom="0.5" header="0.3" footer="0.3"/>
  <pageSetup scale="43"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1"/>
  <sheetViews>
    <sheetView topLeftCell="A24" zoomScale="70" zoomScaleNormal="70" workbookViewId="0">
      <selection activeCell="C58" sqref="C58"/>
    </sheetView>
  </sheetViews>
  <sheetFormatPr baseColWidth="10" defaultColWidth="9.1640625" defaultRowHeight="14" x14ac:dyDescent="0.2"/>
  <cols>
    <col min="1" max="1" width="3.6640625" style="2" customWidth="1"/>
    <col min="2" max="2" width="39.83203125" style="1" customWidth="1"/>
    <col min="3" max="3" width="35.1640625" style="1" customWidth="1"/>
    <col min="4" max="4" width="36.33203125" style="1" customWidth="1"/>
    <col min="5" max="5" width="35.33203125" style="1" customWidth="1"/>
    <col min="6" max="6" width="35.5" style="1" customWidth="1"/>
    <col min="7" max="7" width="1.5" style="5" customWidth="1"/>
    <col min="8" max="8" width="13" style="3" customWidth="1"/>
    <col min="9" max="9" width="33.5" style="1" customWidth="1"/>
    <col min="10" max="10" width="4.33203125" style="4" customWidth="1"/>
    <col min="11" max="11" width="4.6640625" style="1" customWidth="1"/>
    <col min="12" max="12" width="4.83203125" style="1" customWidth="1"/>
    <col min="13" max="13" width="4.5" style="2" customWidth="1"/>
    <col min="14" max="15" width="4.5" style="1" customWidth="1"/>
    <col min="16" max="16384" width="9.1640625" style="1"/>
  </cols>
  <sheetData>
    <row r="1" spans="1:14" s="7" customFormat="1" ht="47.5" customHeight="1" x14ac:dyDescent="0.45">
      <c r="A1" s="10"/>
      <c r="B1" s="457" t="s">
        <v>0</v>
      </c>
      <c r="C1" s="365"/>
      <c r="D1" s="458"/>
      <c r="E1" s="178" t="s">
        <v>1</v>
      </c>
      <c r="F1" s="11"/>
      <c r="G1" s="12"/>
      <c r="H1" s="465" t="s">
        <v>2</v>
      </c>
      <c r="I1" s="466"/>
      <c r="J1" s="466"/>
      <c r="K1" s="466"/>
      <c r="L1" s="466"/>
      <c r="M1" s="467"/>
      <c r="N1" s="13"/>
    </row>
    <row r="2" spans="1:14" s="7" customFormat="1" ht="25.5" customHeight="1" x14ac:dyDescent="0.25">
      <c r="B2" s="459" t="s">
        <v>194</v>
      </c>
      <c r="C2" s="460"/>
      <c r="D2" s="461" t="s">
        <v>4</v>
      </c>
      <c r="E2" s="462"/>
      <c r="F2" s="14"/>
      <c r="G2" s="12"/>
      <c r="H2" s="468" t="s">
        <v>5</v>
      </c>
      <c r="I2" s="469"/>
      <c r="J2" s="469"/>
      <c r="K2" s="469"/>
      <c r="L2" s="469"/>
      <c r="M2" s="470"/>
      <c r="N2" s="474"/>
    </row>
    <row r="3" spans="1:14" s="7" customFormat="1" ht="48.75" customHeight="1" x14ac:dyDescent="0.25">
      <c r="A3" s="9"/>
      <c r="B3" s="463" t="s">
        <v>6</v>
      </c>
      <c r="C3" s="464"/>
      <c r="D3" s="432"/>
      <c r="E3" s="429"/>
      <c r="F3" s="14"/>
      <c r="G3" s="12"/>
      <c r="H3" s="471"/>
      <c r="I3" s="472"/>
      <c r="J3" s="472"/>
      <c r="K3" s="472"/>
      <c r="L3" s="472"/>
      <c r="M3" s="473"/>
      <c r="N3" s="475"/>
    </row>
    <row r="4" spans="1:14" s="7" customFormat="1" ht="19" customHeight="1" x14ac:dyDescent="0.25">
      <c r="A4" s="258"/>
      <c r="B4" s="426" t="s">
        <v>7</v>
      </c>
      <c r="C4" s="427"/>
      <c r="D4" s="428" t="s">
        <v>8</v>
      </c>
      <c r="E4" s="429"/>
      <c r="F4" s="14"/>
      <c r="G4" s="12"/>
      <c r="H4" s="448" t="s">
        <v>9</v>
      </c>
      <c r="I4" s="449"/>
      <c r="J4" s="449"/>
      <c r="K4" s="449"/>
      <c r="L4" s="449"/>
      <c r="M4" s="450"/>
      <c r="N4" s="475"/>
    </row>
    <row r="5" spans="1:14" s="7" customFormat="1" ht="19" customHeight="1" x14ac:dyDescent="0.2">
      <c r="A5" s="9"/>
      <c r="B5" s="430" t="s">
        <v>10</v>
      </c>
      <c r="C5" s="431"/>
      <c r="D5" s="428" t="s">
        <v>11</v>
      </c>
      <c r="E5" s="429"/>
      <c r="F5" s="15"/>
      <c r="G5" s="16"/>
      <c r="H5" s="477"/>
      <c r="I5" s="478"/>
      <c r="J5" s="478"/>
      <c r="K5" s="478"/>
      <c r="L5" s="478"/>
      <c r="M5" s="434"/>
      <c r="N5" s="475"/>
    </row>
    <row r="6" spans="1:14" s="17" customFormat="1" ht="20.25" customHeight="1" x14ac:dyDescent="0.2">
      <c r="B6" s="430" t="s">
        <v>12</v>
      </c>
      <c r="C6" s="431"/>
      <c r="D6" s="432"/>
      <c r="E6" s="429"/>
      <c r="F6" s="18"/>
      <c r="G6" s="19"/>
      <c r="H6" s="448" t="s">
        <v>13</v>
      </c>
      <c r="I6" s="449"/>
      <c r="J6" s="449"/>
      <c r="K6" s="449"/>
      <c r="L6" s="449"/>
      <c r="M6" s="450"/>
      <c r="N6" s="475"/>
    </row>
    <row r="7" spans="1:14" s="9" customFormat="1" ht="19" customHeight="1" x14ac:dyDescent="0.2">
      <c r="B7" s="433" t="s">
        <v>14</v>
      </c>
      <c r="C7" s="431"/>
      <c r="D7" s="428" t="s">
        <v>15</v>
      </c>
      <c r="E7" s="434"/>
      <c r="F7" s="20"/>
      <c r="G7" s="21"/>
      <c r="H7" s="451"/>
      <c r="I7" s="452"/>
      <c r="J7" s="452"/>
      <c r="K7" s="452"/>
      <c r="L7" s="452"/>
      <c r="M7" s="453"/>
      <c r="N7" s="475"/>
    </row>
    <row r="8" spans="1:14" s="25" customFormat="1" ht="23.5" customHeight="1" x14ac:dyDescent="0.2">
      <c r="A8" s="22"/>
      <c r="B8" s="437" t="s">
        <v>16</v>
      </c>
      <c r="C8" s="438"/>
      <c r="D8" s="435"/>
      <c r="E8" s="436"/>
      <c r="F8" s="23"/>
      <c r="G8" s="24"/>
      <c r="H8" s="454" t="s">
        <v>17</v>
      </c>
      <c r="I8" s="455"/>
      <c r="J8" s="455"/>
      <c r="K8" s="455"/>
      <c r="L8" s="455"/>
      <c r="M8" s="456"/>
      <c r="N8" s="476"/>
    </row>
    <row r="9" spans="1:14" s="7" customFormat="1" ht="26.25" customHeight="1" x14ac:dyDescent="0.25">
      <c r="A9" s="26"/>
      <c r="B9" s="27" t="s">
        <v>50</v>
      </c>
      <c r="C9" s="28" t="s">
        <v>19</v>
      </c>
      <c r="D9" s="28" t="s">
        <v>20</v>
      </c>
      <c r="E9" s="28" t="s">
        <v>21</v>
      </c>
      <c r="F9" s="29"/>
      <c r="G9" s="30"/>
      <c r="H9" s="440" t="s">
        <v>22</v>
      </c>
      <c r="I9" s="442"/>
      <c r="J9" s="444" t="s">
        <v>23</v>
      </c>
      <c r="K9" s="446" t="s">
        <v>24</v>
      </c>
      <c r="L9" s="446" t="s">
        <v>25</v>
      </c>
      <c r="M9" s="446" t="s">
        <v>26</v>
      </c>
      <c r="N9" s="31"/>
    </row>
    <row r="10" spans="1:14" s="7" customFormat="1" ht="24" customHeight="1" x14ac:dyDescent="0.2">
      <c r="A10" s="32"/>
      <c r="B10" s="33" t="s">
        <v>27</v>
      </c>
      <c r="C10" s="33" t="s">
        <v>27</v>
      </c>
      <c r="D10" s="33" t="s">
        <v>27</v>
      </c>
      <c r="E10" s="34" t="s">
        <v>27</v>
      </c>
      <c r="F10" s="35"/>
      <c r="G10" s="36"/>
      <c r="H10" s="441"/>
      <c r="I10" s="443"/>
      <c r="J10" s="445"/>
      <c r="K10" s="447"/>
      <c r="L10" s="447"/>
      <c r="M10" s="447"/>
      <c r="N10" s="37"/>
    </row>
    <row r="11" spans="1:14" s="9" customFormat="1" ht="26.25" customHeight="1" x14ac:dyDescent="0.2">
      <c r="A11" s="413" t="s">
        <v>28</v>
      </c>
      <c r="B11" s="38" t="s">
        <v>195</v>
      </c>
      <c r="C11" s="39" t="s">
        <v>30</v>
      </c>
      <c r="D11" s="40"/>
      <c r="E11" s="119"/>
      <c r="F11" s="439" t="s">
        <v>28</v>
      </c>
      <c r="G11" s="41"/>
      <c r="H11" s="42" t="s">
        <v>32</v>
      </c>
      <c r="I11" s="193"/>
      <c r="J11" s="416"/>
      <c r="K11" s="359"/>
      <c r="L11" s="419">
        <v>4</v>
      </c>
      <c r="M11" s="262"/>
      <c r="N11" s="43"/>
    </row>
    <row r="12" spans="1:14" s="9" customFormat="1" ht="20.25" customHeight="1" x14ac:dyDescent="0.2">
      <c r="A12" s="414"/>
      <c r="B12" s="44" t="s">
        <v>33</v>
      </c>
      <c r="C12" s="45" t="s">
        <v>34</v>
      </c>
      <c r="D12" s="46"/>
      <c r="F12" s="408"/>
      <c r="G12" s="41"/>
      <c r="H12" s="47" t="s">
        <v>35</v>
      </c>
      <c r="I12" s="194"/>
      <c r="J12" s="417"/>
      <c r="K12" s="418"/>
      <c r="L12" s="420"/>
      <c r="M12" s="48"/>
      <c r="N12" s="49"/>
    </row>
    <row r="13" spans="1:14" s="9" customFormat="1" ht="19.5" customHeight="1" x14ac:dyDescent="0.2">
      <c r="A13" s="414"/>
      <c r="B13" s="50" t="s">
        <v>36</v>
      </c>
      <c r="C13" s="45" t="s">
        <v>37</v>
      </c>
      <c r="D13" s="51"/>
      <c r="E13" s="119"/>
      <c r="F13" s="408"/>
      <c r="G13" s="41"/>
      <c r="H13" s="52" t="s">
        <v>38</v>
      </c>
      <c r="I13" s="192"/>
      <c r="J13" s="53"/>
      <c r="K13" s="53"/>
      <c r="L13" s="54">
        <v>4</v>
      </c>
      <c r="M13" s="55"/>
      <c r="N13" s="56"/>
    </row>
    <row r="14" spans="1:14" s="9" customFormat="1" ht="27" customHeight="1" x14ac:dyDescent="0.2">
      <c r="A14" s="414"/>
      <c r="B14" s="62" t="s">
        <v>196</v>
      </c>
      <c r="C14" s="58" t="s">
        <v>40</v>
      </c>
      <c r="D14" s="51"/>
      <c r="E14" s="119"/>
      <c r="F14" s="408"/>
      <c r="G14" s="41"/>
      <c r="H14" s="52" t="s">
        <v>41</v>
      </c>
      <c r="I14" s="192"/>
      <c r="J14" s="53"/>
      <c r="K14" s="53"/>
      <c r="L14" s="54">
        <v>1</v>
      </c>
      <c r="M14" s="55"/>
      <c r="N14" s="56"/>
    </row>
    <row r="15" spans="1:14" s="9" customFormat="1" ht="33" customHeight="1" x14ac:dyDescent="0.2">
      <c r="A15" s="414"/>
      <c r="B15" s="57" t="s">
        <v>42</v>
      </c>
      <c r="C15" s="60" t="s">
        <v>43</v>
      </c>
      <c r="D15" s="51"/>
      <c r="E15" s="119"/>
      <c r="F15" s="408"/>
      <c r="G15" s="41"/>
      <c r="H15" s="52" t="s">
        <v>44</v>
      </c>
      <c r="I15" s="192"/>
      <c r="J15" s="53"/>
      <c r="K15" s="53"/>
      <c r="L15" s="54">
        <v>4</v>
      </c>
      <c r="M15" s="55"/>
      <c r="N15" s="56"/>
    </row>
    <row r="16" spans="1:14" s="9" customFormat="1" ht="33.75" customHeight="1" x14ac:dyDescent="0.2">
      <c r="A16" s="407"/>
      <c r="B16" s="59" t="s">
        <v>45</v>
      </c>
      <c r="C16" s="63" t="s">
        <v>46</v>
      </c>
      <c r="D16" s="64"/>
      <c r="E16" s="64"/>
      <c r="F16" s="408"/>
      <c r="G16" s="41"/>
      <c r="H16" s="52" t="s">
        <v>47</v>
      </c>
      <c r="I16" s="192"/>
      <c r="J16" s="53"/>
      <c r="K16" s="53"/>
      <c r="L16" s="54">
        <v>4</v>
      </c>
      <c r="M16" s="55"/>
      <c r="N16" s="56"/>
    </row>
    <row r="17" spans="1:14" s="9" customFormat="1" ht="26.25" customHeight="1" x14ac:dyDescent="0.2">
      <c r="A17" s="407"/>
      <c r="B17" s="66"/>
      <c r="C17" s="67"/>
      <c r="D17" s="51"/>
      <c r="E17" s="64"/>
      <c r="F17" s="408"/>
      <c r="G17" s="41"/>
      <c r="H17" s="52" t="s">
        <v>48</v>
      </c>
      <c r="I17" s="192"/>
      <c r="J17" s="53"/>
      <c r="K17" s="61"/>
      <c r="L17" s="260">
        <v>4</v>
      </c>
      <c r="M17" s="262"/>
      <c r="N17" s="56"/>
    </row>
    <row r="18" spans="1:14" s="7" customFormat="1" ht="28.5" customHeight="1" x14ac:dyDescent="0.2">
      <c r="A18" s="415"/>
      <c r="B18" s="68"/>
      <c r="C18" s="69"/>
      <c r="D18" s="70"/>
      <c r="F18" s="412"/>
      <c r="G18" s="41"/>
      <c r="H18" s="52" t="s">
        <v>49</v>
      </c>
      <c r="I18" s="192"/>
      <c r="J18" s="65"/>
      <c r="K18" s="65"/>
      <c r="L18" s="54">
        <v>4</v>
      </c>
      <c r="M18" s="55"/>
      <c r="N18" s="56"/>
    </row>
    <row r="19" spans="1:14" s="73" customFormat="1" ht="27" customHeight="1" x14ac:dyDescent="0.25">
      <c r="A19" s="71"/>
      <c r="B19" s="27" t="s">
        <v>50</v>
      </c>
      <c r="C19" s="28" t="s">
        <v>19</v>
      </c>
      <c r="D19" s="28" t="s">
        <v>20</v>
      </c>
      <c r="E19" s="28" t="s">
        <v>21</v>
      </c>
      <c r="F19" s="29"/>
      <c r="G19" s="30"/>
      <c r="H19" s="52" t="s">
        <v>51</v>
      </c>
      <c r="I19" s="72"/>
      <c r="J19" s="53"/>
      <c r="K19" s="53"/>
      <c r="L19" s="54">
        <v>3</v>
      </c>
      <c r="M19" s="55"/>
      <c r="N19" s="56"/>
    </row>
    <row r="20" spans="1:14" s="73" customFormat="1" ht="31.5" customHeight="1" x14ac:dyDescent="0.2">
      <c r="A20" s="74"/>
      <c r="B20" s="33" t="s">
        <v>27</v>
      </c>
      <c r="C20" s="33" t="s">
        <v>27</v>
      </c>
      <c r="D20" s="34" t="s">
        <v>27</v>
      </c>
      <c r="E20" s="34" t="s">
        <v>27</v>
      </c>
      <c r="F20" s="35"/>
      <c r="G20" s="36"/>
      <c r="H20" s="52" t="s">
        <v>52</v>
      </c>
      <c r="I20" s="72"/>
      <c r="J20" s="53"/>
      <c r="K20" s="53"/>
      <c r="L20" s="54">
        <v>1</v>
      </c>
      <c r="M20" s="55"/>
      <c r="N20" s="56"/>
    </row>
    <row r="21" spans="1:14" s="73" customFormat="1" ht="31.5" customHeight="1" x14ac:dyDescent="0.2">
      <c r="A21" s="406" t="s">
        <v>53</v>
      </c>
      <c r="B21" s="58" t="s">
        <v>31</v>
      </c>
      <c r="C21" s="486" t="s">
        <v>55</v>
      </c>
      <c r="D21" s="483" t="s">
        <v>55</v>
      </c>
      <c r="F21" s="377" t="s">
        <v>53</v>
      </c>
      <c r="G21" s="75"/>
      <c r="H21" s="52" t="s">
        <v>56</v>
      </c>
      <c r="I21" s="72"/>
      <c r="J21" s="53"/>
      <c r="K21" s="53"/>
      <c r="L21" s="54">
        <v>1</v>
      </c>
      <c r="M21" s="55"/>
      <c r="N21" s="49"/>
    </row>
    <row r="22" spans="1:14" s="73" customFormat="1" ht="29.25" customHeight="1" x14ac:dyDescent="0.2">
      <c r="A22" s="407"/>
      <c r="B22" s="45" t="s">
        <v>57</v>
      </c>
      <c r="C22" s="460"/>
      <c r="D22" s="484"/>
      <c r="F22" s="408"/>
      <c r="G22" s="41"/>
      <c r="H22" s="52" t="s">
        <v>58</v>
      </c>
      <c r="I22" s="72"/>
      <c r="J22" s="191"/>
      <c r="K22" s="180"/>
      <c r="L22" s="54">
        <v>3</v>
      </c>
      <c r="M22" s="55"/>
      <c r="N22" s="82"/>
    </row>
    <row r="23" spans="1:14" s="73" customFormat="1" ht="28.5" customHeight="1" x14ac:dyDescent="0.2">
      <c r="A23" s="407"/>
      <c r="B23" s="45" t="s">
        <v>59</v>
      </c>
      <c r="C23" s="460"/>
      <c r="D23" s="484"/>
      <c r="F23" s="408"/>
      <c r="G23" s="41"/>
      <c r="H23" s="52" t="s">
        <v>60</v>
      </c>
      <c r="I23" s="72"/>
      <c r="J23" s="179"/>
      <c r="K23" s="179"/>
      <c r="L23" s="54">
        <v>1</v>
      </c>
      <c r="M23" s="55"/>
      <c r="N23" s="82"/>
    </row>
    <row r="24" spans="1:14" s="73" customFormat="1" ht="28.5" customHeight="1" x14ac:dyDescent="0.2">
      <c r="A24" s="407"/>
      <c r="B24" s="58" t="s">
        <v>61</v>
      </c>
      <c r="C24" s="460"/>
      <c r="D24" s="484"/>
      <c r="F24" s="408"/>
      <c r="G24" s="85"/>
      <c r="H24" s="52" t="s">
        <v>62</v>
      </c>
      <c r="I24" s="72"/>
      <c r="J24" s="179"/>
      <c r="K24" s="164"/>
      <c r="L24" s="54">
        <v>1</v>
      </c>
      <c r="M24" s="181"/>
      <c r="N24" s="82"/>
    </row>
    <row r="25" spans="1:14" s="73" customFormat="1" ht="28.5" customHeight="1" x14ac:dyDescent="0.2">
      <c r="A25" s="407"/>
      <c r="B25" s="184" t="s">
        <v>64</v>
      </c>
      <c r="C25" s="460"/>
      <c r="D25" s="484"/>
      <c r="F25" s="408"/>
      <c r="G25" s="85"/>
      <c r="H25" s="77"/>
      <c r="I25" s="84"/>
      <c r="J25" s="79"/>
      <c r="K25" s="80"/>
      <c r="L25" s="77"/>
      <c r="M25" s="81"/>
      <c r="N25" s="82"/>
    </row>
    <row r="26" spans="1:14" s="73" customFormat="1" ht="34.5" customHeight="1" x14ac:dyDescent="0.2">
      <c r="A26" s="407"/>
      <c r="B26" s="184" t="s">
        <v>185</v>
      </c>
      <c r="C26" s="329"/>
      <c r="D26" s="485"/>
      <c r="F26" s="408"/>
      <c r="G26" s="41"/>
      <c r="H26" s="77"/>
      <c r="I26" s="84"/>
      <c r="J26" s="79"/>
      <c r="K26" s="80"/>
      <c r="L26" s="77"/>
      <c r="M26" s="81"/>
      <c r="N26" s="86"/>
    </row>
    <row r="27" spans="1:14" s="7" customFormat="1" ht="19" customHeight="1" x14ac:dyDescent="0.2">
      <c r="A27" s="407"/>
      <c r="B27" s="228" t="s">
        <v>65</v>
      </c>
      <c r="C27" s="83"/>
      <c r="D27" s="125"/>
      <c r="E27" s="64"/>
      <c r="F27" s="408"/>
      <c r="G27" s="41"/>
      <c r="H27" s="422" t="s">
        <v>66</v>
      </c>
      <c r="I27" s="424"/>
      <c r="J27" s="402" t="s">
        <v>23</v>
      </c>
      <c r="K27" s="404" t="s">
        <v>24</v>
      </c>
      <c r="L27" s="404" t="s">
        <v>25</v>
      </c>
      <c r="M27" s="404" t="s">
        <v>26</v>
      </c>
      <c r="N27" s="87"/>
    </row>
    <row r="28" spans="1:14" s="73" customFormat="1" ht="18" customHeight="1" x14ac:dyDescent="0.2">
      <c r="A28" s="415"/>
      <c r="B28" s="229"/>
      <c r="C28" s="70"/>
      <c r="D28" s="128"/>
      <c r="E28" s="119"/>
      <c r="F28" s="412"/>
      <c r="G28" s="41"/>
      <c r="H28" s="423"/>
      <c r="I28" s="425"/>
      <c r="J28" s="403"/>
      <c r="K28" s="405"/>
      <c r="L28" s="405"/>
      <c r="M28" s="405"/>
      <c r="N28" s="89"/>
    </row>
    <row r="29" spans="1:14" s="73" customFormat="1" ht="17.25" customHeight="1" x14ac:dyDescent="0.25">
      <c r="A29" s="90"/>
      <c r="B29" s="27" t="s">
        <v>50</v>
      </c>
      <c r="C29" s="28" t="s">
        <v>19</v>
      </c>
      <c r="D29" s="28" t="s">
        <v>20</v>
      </c>
      <c r="E29" s="28" t="s">
        <v>21</v>
      </c>
      <c r="F29" s="29"/>
      <c r="G29" s="30"/>
      <c r="H29" s="93" t="s">
        <v>67</v>
      </c>
      <c r="I29" s="72"/>
      <c r="J29" s="94"/>
      <c r="K29" s="94"/>
      <c r="L29" s="55"/>
      <c r="M29" s="55">
        <v>4</v>
      </c>
      <c r="N29" s="82"/>
    </row>
    <row r="30" spans="1:14" s="73" customFormat="1" ht="20.25" customHeight="1" x14ac:dyDescent="0.2">
      <c r="A30" s="32"/>
      <c r="B30" s="33" t="s">
        <v>27</v>
      </c>
      <c r="C30" s="33" t="s">
        <v>27</v>
      </c>
      <c r="D30" s="33" t="s">
        <v>27</v>
      </c>
      <c r="E30" s="92" t="s">
        <v>68</v>
      </c>
      <c r="F30" s="35"/>
      <c r="G30" s="36"/>
      <c r="H30" s="91" t="s">
        <v>69</v>
      </c>
      <c r="I30" s="72"/>
      <c r="J30" s="182"/>
      <c r="K30" s="182"/>
      <c r="L30" s="183"/>
      <c r="M30" s="183">
        <v>5</v>
      </c>
      <c r="N30" s="82"/>
    </row>
    <row r="31" spans="1:14" s="73" customFormat="1" ht="30" customHeight="1" x14ac:dyDescent="0.2">
      <c r="A31" s="406" t="s">
        <v>70</v>
      </c>
      <c r="B31" s="38" t="s">
        <v>71</v>
      </c>
      <c r="C31" s="483" t="s">
        <v>55</v>
      </c>
      <c r="D31" s="486" t="s">
        <v>55</v>
      </c>
      <c r="E31" s="227" t="s">
        <v>85</v>
      </c>
      <c r="F31" s="377" t="s">
        <v>70</v>
      </c>
      <c r="G31" s="95"/>
      <c r="H31" s="93" t="s">
        <v>74</v>
      </c>
      <c r="I31" s="72"/>
      <c r="J31" s="94"/>
      <c r="K31" s="94"/>
      <c r="L31" s="55"/>
      <c r="M31" s="55">
        <v>4</v>
      </c>
      <c r="N31" s="82"/>
    </row>
    <row r="32" spans="1:14" s="73" customFormat="1" ht="27.75" customHeight="1" x14ac:dyDescent="0.2">
      <c r="A32" s="407"/>
      <c r="B32" s="38" t="s">
        <v>75</v>
      </c>
      <c r="C32" s="484"/>
      <c r="D32" s="460"/>
      <c r="E32" s="149" t="s">
        <v>80</v>
      </c>
      <c r="F32" s="408"/>
      <c r="G32" s="96"/>
      <c r="H32" s="409" t="s">
        <v>78</v>
      </c>
      <c r="I32" s="410"/>
      <c r="J32" s="410"/>
      <c r="K32" s="410"/>
      <c r="L32" s="410"/>
      <c r="M32" s="411"/>
      <c r="N32" s="82"/>
    </row>
    <row r="33" spans="1:14" s="73" customFormat="1" ht="18" customHeight="1" x14ac:dyDescent="0.2">
      <c r="A33" s="407"/>
      <c r="B33" s="39" t="s">
        <v>54</v>
      </c>
      <c r="C33" s="484"/>
      <c r="D33" s="460"/>
      <c r="E33" s="230" t="s">
        <v>83</v>
      </c>
      <c r="F33" s="408"/>
      <c r="G33" s="96"/>
      <c r="H33" s="93" t="s">
        <v>81</v>
      </c>
      <c r="I33" s="72"/>
      <c r="J33" s="61"/>
      <c r="K33" s="61"/>
      <c r="L33" s="55"/>
      <c r="M33" s="55">
        <v>4</v>
      </c>
      <c r="N33" s="49"/>
    </row>
    <row r="34" spans="1:14" s="73" customFormat="1" ht="39" customHeight="1" x14ac:dyDescent="0.2">
      <c r="A34" s="407"/>
      <c r="B34" s="184" t="s">
        <v>64</v>
      </c>
      <c r="C34" s="484"/>
      <c r="D34" s="460"/>
      <c r="F34" s="408"/>
      <c r="G34" s="98"/>
      <c r="H34" s="93" t="s">
        <v>84</v>
      </c>
      <c r="I34" s="72"/>
      <c r="J34" s="61"/>
      <c r="K34" s="61"/>
      <c r="L34" s="55"/>
      <c r="M34" s="55">
        <v>1</v>
      </c>
      <c r="N34" s="82"/>
    </row>
    <row r="35" spans="1:14" s="7" customFormat="1" ht="27.75" customHeight="1" x14ac:dyDescent="0.2">
      <c r="A35" s="407"/>
      <c r="B35" s="184" t="s">
        <v>72</v>
      </c>
      <c r="C35" s="484"/>
      <c r="D35" s="460"/>
      <c r="F35" s="408"/>
      <c r="G35" s="95"/>
      <c r="H35" s="99" t="s">
        <v>86</v>
      </c>
      <c r="I35" s="72"/>
      <c r="J35" s="94"/>
      <c r="K35" s="94"/>
      <c r="L35" s="55"/>
      <c r="M35" s="55">
        <v>4</v>
      </c>
      <c r="N35" s="82"/>
    </row>
    <row r="36" spans="1:14" s="73" customFormat="1" ht="18" customHeight="1" x14ac:dyDescent="0.2">
      <c r="A36" s="407"/>
      <c r="C36" s="485"/>
      <c r="D36" s="329"/>
      <c r="F36" s="408"/>
      <c r="G36" s="41"/>
      <c r="H36" s="91" t="s">
        <v>88</v>
      </c>
      <c r="I36" s="187"/>
      <c r="J36" s="61"/>
      <c r="K36" s="61"/>
      <c r="L36" s="100"/>
      <c r="M36" s="54">
        <v>4</v>
      </c>
      <c r="N36" s="82"/>
    </row>
    <row r="37" spans="1:14" s="73" customFormat="1" ht="18" customHeight="1" x14ac:dyDescent="0.2">
      <c r="A37" s="407"/>
      <c r="B37" s="104"/>
      <c r="C37" s="97"/>
      <c r="D37" s="105"/>
      <c r="F37" s="408"/>
      <c r="G37" s="41"/>
      <c r="H37" s="101" t="s">
        <v>89</v>
      </c>
      <c r="I37" s="185"/>
      <c r="J37" s="94"/>
      <c r="K37" s="102"/>
      <c r="L37" s="103"/>
      <c r="M37" s="186">
        <v>1</v>
      </c>
      <c r="N37" s="82"/>
    </row>
    <row r="38" spans="1:14" s="73" customFormat="1" ht="18" customHeight="1" x14ac:dyDescent="0.2">
      <c r="A38" s="415"/>
      <c r="B38" s="107"/>
      <c r="C38" s="70"/>
      <c r="D38" s="70"/>
      <c r="E38" s="108"/>
      <c r="F38" s="412"/>
      <c r="G38" s="41"/>
      <c r="H38" s="409" t="s">
        <v>90</v>
      </c>
      <c r="I38" s="410"/>
      <c r="J38" s="410"/>
      <c r="K38" s="410"/>
      <c r="L38" s="410"/>
      <c r="M38" s="411"/>
      <c r="N38" s="82"/>
    </row>
    <row r="39" spans="1:14" s="73" customFormat="1" ht="30.75" customHeight="1" x14ac:dyDescent="0.25">
      <c r="A39" s="231"/>
      <c r="B39" s="232" t="s">
        <v>50</v>
      </c>
      <c r="C39" s="28" t="s">
        <v>19</v>
      </c>
      <c r="D39" s="28" t="s">
        <v>20</v>
      </c>
      <c r="E39" s="28" t="s">
        <v>21</v>
      </c>
      <c r="F39" s="29"/>
      <c r="G39" s="30"/>
      <c r="H39" s="93" t="s">
        <v>91</v>
      </c>
      <c r="I39" s="72"/>
      <c r="J39" s="61"/>
      <c r="K39" s="61"/>
      <c r="L39" s="55"/>
      <c r="M39" s="55">
        <v>4</v>
      </c>
      <c r="N39" s="82"/>
    </row>
    <row r="40" spans="1:14" s="73" customFormat="1" ht="31.5" customHeight="1" x14ac:dyDescent="0.2">
      <c r="A40" s="233"/>
      <c r="B40" s="234" t="s">
        <v>92</v>
      </c>
      <c r="C40" s="33" t="s">
        <v>27</v>
      </c>
      <c r="D40" s="33" t="s">
        <v>92</v>
      </c>
      <c r="E40" s="34" t="s">
        <v>27</v>
      </c>
      <c r="F40" s="35"/>
      <c r="G40" s="36"/>
      <c r="H40" s="93" t="s">
        <v>93</v>
      </c>
      <c r="I40" s="72"/>
      <c r="J40" s="61"/>
      <c r="K40" s="61"/>
      <c r="L40" s="55"/>
      <c r="M40" s="55">
        <v>1</v>
      </c>
      <c r="N40" s="82"/>
    </row>
    <row r="41" spans="1:14" s="73" customFormat="1" ht="21" customHeight="1" x14ac:dyDescent="0.2">
      <c r="A41" s="406" t="s">
        <v>94</v>
      </c>
      <c r="B41" s="226" t="s">
        <v>76</v>
      </c>
      <c r="C41" s="483" t="s">
        <v>55</v>
      </c>
      <c r="D41" s="483" t="s">
        <v>55</v>
      </c>
      <c r="E41" s="289" t="s">
        <v>77</v>
      </c>
      <c r="F41" s="377" t="s">
        <v>94</v>
      </c>
      <c r="G41" s="95"/>
      <c r="H41" s="93" t="s">
        <v>97</v>
      </c>
      <c r="I41" s="72"/>
      <c r="J41" s="61"/>
      <c r="K41" s="61"/>
      <c r="L41" s="55"/>
      <c r="M41" s="55">
        <v>4</v>
      </c>
      <c r="N41" s="49"/>
    </row>
    <row r="42" spans="1:14" s="73" customFormat="1" ht="20.25" customHeight="1" x14ac:dyDescent="0.2">
      <c r="A42" s="407"/>
      <c r="B42" s="226" t="s">
        <v>76</v>
      </c>
      <c r="C42" s="484"/>
      <c r="D42" s="484"/>
      <c r="E42" s="184" t="s">
        <v>73</v>
      </c>
      <c r="F42" s="408"/>
      <c r="G42" s="110"/>
      <c r="H42" s="93" t="s">
        <v>100</v>
      </c>
      <c r="I42" s="72"/>
      <c r="J42" s="61"/>
      <c r="K42" s="61"/>
      <c r="L42" s="55"/>
      <c r="M42" s="55">
        <v>4</v>
      </c>
      <c r="N42" s="82"/>
    </row>
    <row r="43" spans="1:14" s="7" customFormat="1" ht="18" customHeight="1" x14ac:dyDescent="0.2">
      <c r="A43" s="407"/>
      <c r="B43" s="226" t="s">
        <v>79</v>
      </c>
      <c r="C43" s="484"/>
      <c r="D43" s="484"/>
      <c r="F43" s="408"/>
      <c r="G43" s="111"/>
      <c r="H43" s="399" t="s">
        <v>102</v>
      </c>
      <c r="I43" s="400"/>
      <c r="J43" s="400"/>
      <c r="K43" s="400"/>
      <c r="L43" s="400"/>
      <c r="M43" s="400"/>
      <c r="N43" s="401"/>
    </row>
    <row r="44" spans="1:14" s="73" customFormat="1" ht="18.75" customHeight="1" x14ac:dyDescent="0.2">
      <c r="A44" s="407"/>
      <c r="B44" s="226" t="s">
        <v>79</v>
      </c>
      <c r="C44" s="484"/>
      <c r="D44" s="484"/>
      <c r="F44" s="408"/>
      <c r="G44" s="111"/>
      <c r="H44" s="93" t="s">
        <v>104</v>
      </c>
      <c r="I44" s="187"/>
      <c r="J44" s="259"/>
      <c r="K44" s="259"/>
      <c r="L44" s="262"/>
      <c r="M44" s="262">
        <v>1</v>
      </c>
      <c r="N44" s="86"/>
    </row>
    <row r="45" spans="1:14" s="73" customFormat="1" ht="19.5" customHeight="1" x14ac:dyDescent="0.2">
      <c r="A45" s="407"/>
      <c r="B45" s="228" t="s">
        <v>87</v>
      </c>
      <c r="C45" s="484"/>
      <c r="D45" s="484"/>
      <c r="F45" s="408"/>
      <c r="G45" s="41"/>
      <c r="H45" s="93" t="s">
        <v>105</v>
      </c>
      <c r="I45" s="72"/>
      <c r="J45" s="259"/>
      <c r="K45" s="259"/>
      <c r="L45" s="262"/>
      <c r="M45" s="262">
        <v>4</v>
      </c>
      <c r="N45" s="113"/>
    </row>
    <row r="46" spans="1:14" s="73" customFormat="1" ht="19.5" customHeight="1" x14ac:dyDescent="0.2">
      <c r="A46" s="407"/>
      <c r="B46" s="235"/>
      <c r="C46" s="485"/>
      <c r="D46" s="485"/>
      <c r="F46" s="408"/>
      <c r="G46" s="41"/>
      <c r="H46" s="399" t="s">
        <v>106</v>
      </c>
      <c r="I46" s="400"/>
      <c r="J46" s="400"/>
      <c r="K46" s="400"/>
      <c r="L46" s="400"/>
      <c r="M46" s="400"/>
      <c r="N46" s="401"/>
    </row>
    <row r="47" spans="1:14" s="73" customFormat="1" ht="18" customHeight="1" x14ac:dyDescent="0.2">
      <c r="A47" s="407"/>
      <c r="B47" s="97"/>
      <c r="C47" s="235"/>
      <c r="D47" s="235"/>
      <c r="E47" s="106"/>
      <c r="F47" s="408"/>
      <c r="G47" s="41"/>
      <c r="H47" s="93" t="s">
        <v>107</v>
      </c>
      <c r="I47" s="72"/>
      <c r="J47" s="259"/>
      <c r="K47" s="259"/>
      <c r="L47" s="262"/>
      <c r="M47" s="262">
        <v>4</v>
      </c>
      <c r="N47" s="76"/>
    </row>
    <row r="48" spans="1:14" s="115" customFormat="1" ht="18.75" customHeight="1" x14ac:dyDescent="0.2">
      <c r="A48" s="415"/>
      <c r="B48" s="114"/>
      <c r="C48" s="128"/>
      <c r="D48" s="128"/>
      <c r="E48" s="108"/>
      <c r="F48" s="495"/>
      <c r="G48" s="41"/>
      <c r="H48" s="93" t="s">
        <v>107</v>
      </c>
      <c r="I48" s="72"/>
      <c r="J48" s="259"/>
      <c r="K48" s="259"/>
      <c r="L48" s="262"/>
      <c r="M48" s="262">
        <v>4</v>
      </c>
      <c r="N48" s="76"/>
    </row>
    <row r="49" spans="1:14" s="115" customFormat="1" ht="16.5" customHeight="1" x14ac:dyDescent="0.25">
      <c r="A49" s="90"/>
      <c r="B49" s="27" t="s">
        <v>50</v>
      </c>
      <c r="C49" s="28" t="s">
        <v>19</v>
      </c>
      <c r="D49" s="28" t="s">
        <v>20</v>
      </c>
      <c r="E49" s="28" t="s">
        <v>21</v>
      </c>
      <c r="F49" s="29"/>
      <c r="G49" s="30"/>
      <c r="H49" s="93" t="s">
        <v>107</v>
      </c>
      <c r="I49" s="190"/>
      <c r="J49" s="259"/>
      <c r="K49" s="259"/>
      <c r="L49" s="262"/>
      <c r="M49" s="262">
        <v>4</v>
      </c>
      <c r="N49" s="82"/>
    </row>
    <row r="50" spans="1:14" s="115" customFormat="1" ht="21" customHeight="1" x14ac:dyDescent="0.2">
      <c r="A50" s="32"/>
      <c r="B50" s="33" t="s">
        <v>27</v>
      </c>
      <c r="C50" s="33" t="s">
        <v>27</v>
      </c>
      <c r="D50" s="33" t="s">
        <v>27</v>
      </c>
      <c r="E50" s="34" t="s">
        <v>27</v>
      </c>
      <c r="F50" s="35"/>
      <c r="G50" s="36"/>
      <c r="H50" s="93" t="s">
        <v>107</v>
      </c>
      <c r="I50" s="190"/>
      <c r="J50" s="259"/>
      <c r="K50" s="259"/>
      <c r="L50" s="262"/>
      <c r="M50" s="262">
        <v>4</v>
      </c>
      <c r="N50" s="86"/>
    </row>
    <row r="51" spans="1:14" s="115" customFormat="1" ht="24" customHeight="1" x14ac:dyDescent="0.2">
      <c r="A51" s="406" t="s">
        <v>192</v>
      </c>
      <c r="B51" s="184" t="s">
        <v>95</v>
      </c>
      <c r="C51" s="184" t="s">
        <v>99</v>
      </c>
      <c r="D51" s="200"/>
      <c r="E51" s="119"/>
      <c r="F51" s="377" t="s">
        <v>192</v>
      </c>
      <c r="G51" s="120"/>
      <c r="H51" s="261" t="s">
        <v>111</v>
      </c>
      <c r="I51" s="116"/>
      <c r="J51" s="112"/>
      <c r="K51" s="112"/>
      <c r="L51" s="112"/>
      <c r="M51" s="117"/>
      <c r="N51" s="118"/>
    </row>
    <row r="52" spans="1:14" s="115" customFormat="1" ht="20.25" customHeight="1" x14ac:dyDescent="0.2">
      <c r="A52" s="504"/>
      <c r="B52" s="184" t="s">
        <v>79</v>
      </c>
      <c r="C52" s="184" t="s">
        <v>101</v>
      </c>
      <c r="D52" s="51"/>
      <c r="E52" s="119"/>
      <c r="F52" s="506"/>
      <c r="G52" s="41"/>
      <c r="H52" s="93" t="s">
        <v>113</v>
      </c>
      <c r="I52" s="190"/>
      <c r="J52" s="259"/>
      <c r="K52" s="259"/>
      <c r="L52" s="262"/>
      <c r="M52" s="262">
        <v>3</v>
      </c>
      <c r="N52" s="121"/>
    </row>
    <row r="53" spans="1:14" s="115" customFormat="1" ht="19.5" customHeight="1" x14ac:dyDescent="0.2">
      <c r="A53" s="504"/>
      <c r="B53" s="287" t="s">
        <v>96</v>
      </c>
      <c r="C53" s="63" t="s">
        <v>103</v>
      </c>
      <c r="D53" s="51"/>
      <c r="E53" s="119"/>
      <c r="F53" s="506"/>
      <c r="G53" s="85"/>
      <c r="H53" s="93" t="s">
        <v>115</v>
      </c>
      <c r="I53" s="190"/>
      <c r="J53" s="259"/>
      <c r="K53" s="259"/>
      <c r="L53" s="262">
        <v>1</v>
      </c>
      <c r="M53" s="262">
        <v>3</v>
      </c>
      <c r="N53" s="82"/>
    </row>
    <row r="54" spans="1:14" s="115" customFormat="1" ht="16.5" customHeight="1" x14ac:dyDescent="0.2">
      <c r="A54" s="504"/>
      <c r="B54" s="93" t="s">
        <v>98</v>
      </c>
      <c r="C54" s="63" t="s">
        <v>82</v>
      </c>
      <c r="D54" s="51"/>
      <c r="E54" s="119"/>
      <c r="F54" s="506"/>
      <c r="G54" s="85"/>
      <c r="H54" s="93" t="s">
        <v>117</v>
      </c>
      <c r="I54" s="190"/>
      <c r="J54" s="53"/>
      <c r="K54" s="53"/>
      <c r="L54" s="55">
        <v>2</v>
      </c>
      <c r="M54" s="55">
        <v>2</v>
      </c>
      <c r="N54" s="122"/>
    </row>
    <row r="55" spans="1:14" s="115" customFormat="1" ht="18.75" customHeight="1" x14ac:dyDescent="0.2">
      <c r="A55" s="504"/>
      <c r="B55" s="305"/>
      <c r="C55" s="236"/>
      <c r="D55" s="124"/>
      <c r="E55" s="125"/>
      <c r="F55" s="506"/>
      <c r="G55" s="41"/>
      <c r="H55" s="123"/>
      <c r="I55" s="123"/>
      <c r="J55" s="123"/>
      <c r="K55" s="123"/>
      <c r="L55" s="123"/>
      <c r="M55" s="123"/>
      <c r="N55" s="122"/>
    </row>
    <row r="56" spans="1:14" s="115" customFormat="1" ht="19.5" customHeight="1" x14ac:dyDescent="0.2">
      <c r="A56" s="504"/>
      <c r="B56" s="124"/>
      <c r="C56" s="236"/>
      <c r="D56" s="124"/>
      <c r="E56" s="125"/>
      <c r="F56" s="506"/>
      <c r="G56" s="41"/>
      <c r="H56" s="123"/>
      <c r="I56" s="123"/>
      <c r="J56" s="123"/>
      <c r="K56" s="123"/>
      <c r="L56" s="123"/>
      <c r="M56" s="123"/>
      <c r="N56" s="122"/>
    </row>
    <row r="57" spans="1:14" s="115" customFormat="1" ht="20.25" customHeight="1" x14ac:dyDescent="0.2">
      <c r="A57" s="504"/>
      <c r="B57" s="124"/>
      <c r="C57" s="236"/>
      <c r="D57" s="124"/>
      <c r="E57" s="125"/>
      <c r="F57" s="506"/>
      <c r="G57" s="41"/>
      <c r="H57" s="123"/>
      <c r="I57" s="123"/>
      <c r="J57" s="123"/>
      <c r="K57" s="123"/>
      <c r="L57" s="123"/>
      <c r="M57" s="123"/>
      <c r="N57" s="122"/>
    </row>
    <row r="58" spans="1:14" s="115" customFormat="1" ht="20.25" customHeight="1" x14ac:dyDescent="0.2">
      <c r="A58" s="505"/>
      <c r="B58" s="114"/>
      <c r="C58" s="69"/>
      <c r="D58" s="70"/>
      <c r="E58" s="128"/>
      <c r="F58" s="507"/>
      <c r="G58" s="85"/>
      <c r="H58" s="380" t="s">
        <v>122</v>
      </c>
      <c r="I58" s="382"/>
      <c r="J58" s="384" t="s">
        <v>23</v>
      </c>
      <c r="K58" s="386" t="s">
        <v>24</v>
      </c>
      <c r="L58" s="126"/>
      <c r="M58" s="126"/>
      <c r="N58" s="127"/>
    </row>
    <row r="59" spans="1:14" s="115" customFormat="1" ht="19.5" customHeight="1" x14ac:dyDescent="0.2">
      <c r="A59" s="131"/>
      <c r="B59" s="132"/>
      <c r="C59" s="132"/>
      <c r="D59" s="132"/>
      <c r="E59" s="132"/>
      <c r="F59" s="133"/>
      <c r="G59" s="134"/>
      <c r="H59" s="381"/>
      <c r="I59" s="383"/>
      <c r="J59" s="385"/>
      <c r="K59" s="387"/>
      <c r="L59" s="129"/>
      <c r="M59" s="129"/>
      <c r="N59" s="130"/>
    </row>
    <row r="60" spans="1:14" s="115" customFormat="1" ht="20.25" customHeight="1" x14ac:dyDescent="0.2">
      <c r="A60" s="137"/>
      <c r="B60" s="138"/>
      <c r="C60" s="138"/>
      <c r="D60" s="138"/>
      <c r="E60" s="138"/>
      <c r="F60" s="139"/>
      <c r="G60" s="253"/>
      <c r="H60" s="135" t="s">
        <v>125</v>
      </c>
      <c r="I60" s="190"/>
      <c r="J60" s="259"/>
      <c r="K60" s="259"/>
      <c r="L60" s="262"/>
      <c r="M60" s="262"/>
      <c r="N60" s="136"/>
    </row>
    <row r="61" spans="1:14" s="115" customFormat="1" ht="17.5" customHeight="1" x14ac:dyDescent="0.2">
      <c r="A61" s="138"/>
      <c r="B61" s="488" t="s">
        <v>108</v>
      </c>
      <c r="C61" s="498"/>
      <c r="D61" s="140"/>
      <c r="E61" s="140"/>
      <c r="F61" s="253"/>
      <c r="G61" s="253"/>
      <c r="H61" s="135" t="s">
        <v>127</v>
      </c>
      <c r="I61" s="190"/>
      <c r="J61" s="259"/>
      <c r="K61" s="259"/>
      <c r="L61" s="262"/>
      <c r="M61" s="262"/>
      <c r="N61" s="122"/>
    </row>
    <row r="62" spans="1:14" s="115" customFormat="1" ht="19.5" customHeight="1" x14ac:dyDescent="0.2">
      <c r="A62" s="142"/>
      <c r="B62" s="498"/>
      <c r="C62" s="498"/>
      <c r="F62" s="253"/>
      <c r="G62" s="253"/>
      <c r="H62" s="135" t="s">
        <v>129</v>
      </c>
      <c r="I62" s="190"/>
      <c r="J62" s="259"/>
      <c r="K62" s="259"/>
      <c r="L62" s="55"/>
      <c r="M62" s="55"/>
      <c r="N62" s="141"/>
    </row>
    <row r="63" spans="1:14" s="115" customFormat="1" ht="18.75" customHeight="1" x14ac:dyDescent="0.2">
      <c r="A63" s="115" t="s">
        <v>109</v>
      </c>
      <c r="B63" s="489" t="s">
        <v>110</v>
      </c>
      <c r="C63" s="497"/>
      <c r="D63" s="497"/>
      <c r="E63" s="497"/>
      <c r="F63" s="497"/>
      <c r="G63" s="253"/>
      <c r="H63" s="371" t="s">
        <v>130</v>
      </c>
      <c r="I63" s="143"/>
      <c r="J63" s="373" t="s">
        <v>23</v>
      </c>
      <c r="K63" s="375" t="s">
        <v>24</v>
      </c>
      <c r="L63" s="144"/>
      <c r="M63" s="145"/>
      <c r="N63" s="146"/>
    </row>
    <row r="64" spans="1:14" s="115" customFormat="1" ht="18" customHeight="1" x14ac:dyDescent="0.2">
      <c r="A64" s="137"/>
      <c r="B64" s="490" t="s">
        <v>112</v>
      </c>
      <c r="C64" s="497"/>
      <c r="D64" s="497"/>
      <c r="E64" s="497"/>
      <c r="F64" s="497"/>
      <c r="G64" s="253"/>
      <c r="H64" s="372"/>
      <c r="I64" s="143"/>
      <c r="J64" s="374"/>
      <c r="K64" s="376"/>
      <c r="L64" s="144"/>
      <c r="M64" s="147"/>
      <c r="N64" s="130"/>
    </row>
    <row r="65" spans="1:14" s="115" customFormat="1" ht="29.25" customHeight="1" x14ac:dyDescent="0.2">
      <c r="A65" s="138"/>
      <c r="B65" s="490" t="s">
        <v>114</v>
      </c>
      <c r="C65" s="497"/>
      <c r="D65" s="497"/>
      <c r="E65" s="497"/>
      <c r="F65" s="253"/>
      <c r="G65" s="253"/>
      <c r="H65" s="148" t="s">
        <v>133</v>
      </c>
      <c r="I65" s="190"/>
      <c r="J65" s="259"/>
      <c r="K65" s="259"/>
      <c r="L65" s="262"/>
      <c r="M65" s="262"/>
      <c r="N65" s="136"/>
    </row>
    <row r="66" spans="1:14" s="7" customFormat="1" ht="44.25" customHeight="1" x14ac:dyDescent="0.2">
      <c r="A66" s="138"/>
      <c r="B66" s="491" t="s">
        <v>116</v>
      </c>
      <c r="C66" s="497"/>
      <c r="D66" s="497"/>
      <c r="E66" s="497"/>
      <c r="F66" s="253"/>
      <c r="G66" s="253"/>
      <c r="H66" s="149" t="s">
        <v>135</v>
      </c>
      <c r="I66" s="188"/>
      <c r="J66" s="359"/>
      <c r="K66" s="359"/>
      <c r="L66" s="361"/>
      <c r="M66" s="361"/>
      <c r="N66" s="122"/>
    </row>
    <row r="67" spans="1:14" s="7" customFormat="1" ht="33.75" customHeight="1" x14ac:dyDescent="0.2">
      <c r="A67" s="138"/>
      <c r="B67" s="490" t="s">
        <v>118</v>
      </c>
      <c r="C67" s="497"/>
      <c r="D67" s="497"/>
      <c r="E67" s="497"/>
      <c r="F67" s="253"/>
      <c r="G67" s="253"/>
      <c r="H67" s="150" t="s">
        <v>137</v>
      </c>
      <c r="I67" s="189"/>
      <c r="J67" s="360"/>
      <c r="K67" s="360"/>
      <c r="L67" s="362"/>
      <c r="M67" s="362"/>
      <c r="N67" s="122"/>
    </row>
    <row r="68" spans="1:14" s="7" customFormat="1" ht="18.75" customHeight="1" x14ac:dyDescent="0.2">
      <c r="A68" s="138"/>
      <c r="B68" s="490" t="s">
        <v>119</v>
      </c>
      <c r="C68" s="497"/>
      <c r="D68" s="497"/>
      <c r="E68" s="497"/>
      <c r="F68" s="497"/>
      <c r="G68" s="253"/>
      <c r="H68" s="151"/>
      <c r="I68" s="136"/>
      <c r="J68" s="152"/>
      <c r="K68" s="153"/>
      <c r="L68" s="154"/>
      <c r="M68" s="154"/>
      <c r="N68" s="122"/>
    </row>
    <row r="69" spans="1:14" s="7" customFormat="1" ht="19.5" customHeight="1" x14ac:dyDescent="0.2">
      <c r="A69" s="138"/>
      <c r="B69" s="364" t="s">
        <v>120</v>
      </c>
      <c r="C69" s="365"/>
      <c r="D69" s="365"/>
      <c r="E69" s="365"/>
      <c r="F69" s="253"/>
      <c r="G69" s="253"/>
      <c r="H69" s="155"/>
      <c r="I69" s="141"/>
      <c r="J69" s="156"/>
      <c r="K69" s="157"/>
      <c r="L69" s="158"/>
      <c r="M69" s="158"/>
      <c r="N69" s="141"/>
    </row>
    <row r="70" spans="1:14" s="7" customFormat="1" ht="19" customHeight="1" x14ac:dyDescent="0.2">
      <c r="A70" s="138"/>
      <c r="B70" s="364" t="s">
        <v>121</v>
      </c>
      <c r="C70" s="365"/>
      <c r="D70" s="365"/>
      <c r="E70" s="365"/>
      <c r="F70" s="253"/>
      <c r="G70" s="253"/>
      <c r="H70" s="390" t="s">
        <v>141</v>
      </c>
      <c r="I70" s="392" t="s">
        <v>142</v>
      </c>
      <c r="J70" s="394" t="s">
        <v>23</v>
      </c>
      <c r="K70" s="395" t="s">
        <v>24</v>
      </c>
      <c r="L70" s="363" t="s">
        <v>143</v>
      </c>
      <c r="M70" s="363" t="s">
        <v>144</v>
      </c>
      <c r="N70" s="363" t="s">
        <v>145</v>
      </c>
    </row>
    <row r="71" spans="1:14" s="7" customFormat="1" ht="20.25" customHeight="1" x14ac:dyDescent="0.2">
      <c r="A71" s="138"/>
      <c r="B71" s="364" t="s">
        <v>123</v>
      </c>
      <c r="C71" s="365"/>
      <c r="D71" s="365"/>
      <c r="E71" s="365"/>
      <c r="F71" s="253"/>
      <c r="G71" s="253"/>
      <c r="H71" s="391"/>
      <c r="I71" s="496"/>
      <c r="J71" s="374"/>
      <c r="K71" s="376"/>
      <c r="L71" s="362"/>
      <c r="M71" s="362"/>
      <c r="N71" s="362"/>
    </row>
    <row r="72" spans="1:14" s="7" customFormat="1" ht="15.75" customHeight="1" x14ac:dyDescent="0.2">
      <c r="A72" s="138"/>
      <c r="B72" s="364" t="s">
        <v>124</v>
      </c>
      <c r="C72" s="365"/>
      <c r="D72" s="365"/>
      <c r="E72" s="365"/>
      <c r="F72" s="253"/>
      <c r="G72" s="253"/>
      <c r="H72" s="159" t="s">
        <v>148</v>
      </c>
      <c r="I72" s="187"/>
      <c r="J72" s="259"/>
      <c r="K72" s="259"/>
      <c r="L72" s="160"/>
      <c r="M72" s="160"/>
      <c r="N72" s="161"/>
    </row>
    <row r="73" spans="1:14" s="7" customFormat="1" ht="18" customHeight="1" thickBot="1" x14ac:dyDescent="0.25">
      <c r="A73" s="138"/>
      <c r="B73" s="366" t="s">
        <v>126</v>
      </c>
      <c r="C73" s="366"/>
      <c r="D73" s="366"/>
      <c r="E73" s="366"/>
      <c r="F73" s="138"/>
      <c r="G73" s="253"/>
      <c r="H73" s="159" t="s">
        <v>148</v>
      </c>
      <c r="I73" s="187"/>
      <c r="J73" s="259"/>
      <c r="K73" s="259"/>
      <c r="L73" s="160"/>
      <c r="M73" s="160"/>
      <c r="N73" s="162"/>
    </row>
    <row r="74" spans="1:14" s="7" customFormat="1" ht="30.75" customHeight="1" x14ac:dyDescent="0.2">
      <c r="A74" s="138"/>
      <c r="B74" s="367" t="s">
        <v>128</v>
      </c>
      <c r="C74" s="368"/>
      <c r="D74" s="368"/>
      <c r="E74" s="368"/>
      <c r="F74" s="201"/>
      <c r="G74" s="253"/>
      <c r="H74" s="159" t="s">
        <v>148</v>
      </c>
      <c r="I74" s="187"/>
      <c r="J74" s="259"/>
      <c r="K74" s="259"/>
      <c r="L74" s="160"/>
      <c r="M74" s="160"/>
      <c r="N74" s="162"/>
    </row>
    <row r="75" spans="1:14" s="7" customFormat="1" ht="28.5" customHeight="1" x14ac:dyDescent="0.2">
      <c r="A75" s="138"/>
      <c r="B75" s="369"/>
      <c r="C75" s="370"/>
      <c r="D75" s="370"/>
      <c r="E75" s="370"/>
      <c r="F75" s="202"/>
      <c r="G75" s="253"/>
      <c r="H75" s="159" t="s">
        <v>148</v>
      </c>
      <c r="I75" s="187"/>
      <c r="J75" s="259"/>
      <c r="K75" s="259"/>
      <c r="L75" s="160"/>
      <c r="M75" s="160"/>
      <c r="N75" s="162"/>
    </row>
    <row r="76" spans="1:14" s="7" customFormat="1" ht="18" customHeight="1" x14ac:dyDescent="0.2">
      <c r="A76" s="9"/>
      <c r="B76" s="264" t="s">
        <v>193</v>
      </c>
      <c r="C76" s="203"/>
      <c r="D76" s="203"/>
      <c r="E76" s="203"/>
      <c r="F76" s="204"/>
      <c r="G76" s="138"/>
      <c r="H76" s="77"/>
      <c r="I76" s="78"/>
      <c r="J76" s="79"/>
      <c r="K76" s="80"/>
      <c r="L76" s="77"/>
      <c r="M76" s="81"/>
      <c r="N76" s="49"/>
    </row>
    <row r="77" spans="1:14" s="7" customFormat="1" ht="17.25" customHeight="1" x14ac:dyDescent="0.2">
      <c r="A77" s="140"/>
      <c r="B77" s="205" t="s">
        <v>132</v>
      </c>
      <c r="C77" s="203"/>
      <c r="D77" s="203"/>
      <c r="E77" s="203"/>
      <c r="F77" s="206"/>
      <c r="G77" s="138"/>
      <c r="H77" s="77"/>
      <c r="I77" s="84"/>
      <c r="J77" s="79"/>
      <c r="K77" s="80"/>
      <c r="L77" s="77"/>
      <c r="M77" s="81"/>
      <c r="N77" s="49"/>
    </row>
    <row r="78" spans="1:14" s="7" customFormat="1" ht="18.75" customHeight="1" x14ac:dyDescent="0.2">
      <c r="A78" s="9"/>
      <c r="B78" s="207" t="s">
        <v>134</v>
      </c>
      <c r="C78" s="208"/>
      <c r="D78" s="209"/>
      <c r="E78" s="209"/>
      <c r="F78" s="210"/>
      <c r="G78" s="163"/>
      <c r="H78" s="77"/>
      <c r="I78" s="78"/>
      <c r="J78" s="79"/>
      <c r="K78" s="80"/>
      <c r="L78" s="77"/>
      <c r="M78" s="81"/>
      <c r="N78" s="49"/>
    </row>
    <row r="79" spans="1:14" s="7" customFormat="1" ht="18.75" customHeight="1" x14ac:dyDescent="0.2">
      <c r="A79" s="9"/>
      <c r="B79" s="207" t="s">
        <v>136</v>
      </c>
      <c r="C79" s="209"/>
      <c r="D79" s="209"/>
      <c r="E79" s="209"/>
      <c r="F79" s="210"/>
      <c r="G79" s="163"/>
      <c r="H79" s="77"/>
      <c r="I79" s="84"/>
      <c r="J79" s="79"/>
      <c r="K79" s="80"/>
      <c r="L79" s="77"/>
      <c r="M79" s="81"/>
      <c r="N79" s="49"/>
    </row>
    <row r="80" spans="1:14" s="7" customFormat="1" ht="17.25" customHeight="1" x14ac:dyDescent="0.2">
      <c r="A80" s="9"/>
      <c r="B80" s="207" t="s">
        <v>138</v>
      </c>
      <c r="C80" s="209"/>
      <c r="D80" s="209"/>
      <c r="E80" s="209"/>
      <c r="F80" s="210"/>
      <c r="G80" s="163"/>
      <c r="H80" s="77"/>
      <c r="I80" s="165"/>
      <c r="J80" s="79"/>
      <c r="K80" s="80"/>
      <c r="L80" s="77"/>
      <c r="M80" s="81"/>
      <c r="N80" s="49"/>
    </row>
    <row r="81" spans="1:14" s="7" customFormat="1" ht="19.5" customHeight="1" x14ac:dyDescent="0.2">
      <c r="A81" s="9"/>
      <c r="B81" s="207" t="s">
        <v>139</v>
      </c>
      <c r="C81" s="203"/>
      <c r="D81" s="203"/>
      <c r="E81" s="203"/>
      <c r="F81" s="211"/>
      <c r="G81" s="163"/>
      <c r="H81" s="166"/>
      <c r="I81" s="165"/>
      <c r="J81" s="167"/>
      <c r="K81" s="168"/>
      <c r="L81" s="169"/>
      <c r="M81" s="81"/>
      <c r="N81" s="13"/>
    </row>
    <row r="82" spans="1:14" s="7" customFormat="1" ht="17.25" customHeight="1" x14ac:dyDescent="0.2">
      <c r="A82" s="9"/>
      <c r="B82" s="388" t="s">
        <v>140</v>
      </c>
      <c r="C82" s="389"/>
      <c r="D82" s="389"/>
      <c r="F82" s="211"/>
      <c r="G82" s="163"/>
      <c r="H82" s="346" t="s">
        <v>157</v>
      </c>
      <c r="I82" s="327"/>
      <c r="J82" s="348" t="s">
        <v>158</v>
      </c>
      <c r="K82" s="349"/>
      <c r="L82" s="350"/>
      <c r="M82" s="351">
        <v>30</v>
      </c>
      <c r="N82" s="352"/>
    </row>
    <row r="83" spans="1:14" s="7" customFormat="1" ht="18.75" customHeight="1" x14ac:dyDescent="0.2">
      <c r="A83" s="9"/>
      <c r="B83" s="207" t="s">
        <v>146</v>
      </c>
      <c r="C83" s="209"/>
      <c r="D83" s="209"/>
      <c r="E83" s="209"/>
      <c r="F83" s="211"/>
      <c r="G83" s="163"/>
      <c r="H83" s="347"/>
      <c r="I83" s="329"/>
      <c r="J83" s="348" t="s">
        <v>159</v>
      </c>
      <c r="K83" s="349"/>
      <c r="L83" s="350"/>
      <c r="M83" s="321">
        <f>SUMIF(J9:J57,"A",L9:L57)+SUMIF(J9:J57,"A-",L9:L57)+SUMIF(J11:J57,"B+",L11:L57)+SUMIF(J11:J57,"B",L11:L57)+SUMIF(J11:J57,"B-",L11:L57)+SUMIF(J11:J57,"C+",L11:L57)+SUMIF(J11:J57,"C",L11:L57)+SUMIF(J11:J57,"C-",L11:L57)+SUMIF(J11:J57,"D+",L11:L57)+SUMIF(J11:J57,"D",L11:L57)+SUMIF(J11:J57,"D-",L11:L57)+SUMIF(J11:J57,"T",L11:L57)+SUMIF(J11:J57,"AP",L11:L57)+SUMIF(J11:J57,"IB",L11:L57)</f>
        <v>0</v>
      </c>
      <c r="N83" s="322"/>
    </row>
    <row r="84" spans="1:14" s="9" customFormat="1" ht="18" customHeight="1" x14ac:dyDescent="0.2">
      <c r="B84" s="284" t="s">
        <v>147</v>
      </c>
      <c r="C84" s="17"/>
      <c r="D84" s="17"/>
      <c r="E84" s="17"/>
      <c r="F84" s="213"/>
      <c r="G84" s="170"/>
      <c r="H84" s="346" t="s">
        <v>160</v>
      </c>
      <c r="I84" s="327"/>
      <c r="J84" s="348" t="s">
        <v>161</v>
      </c>
      <c r="K84" s="349"/>
      <c r="L84" s="350"/>
      <c r="M84" s="351">
        <v>68</v>
      </c>
      <c r="N84" s="352"/>
    </row>
    <row r="85" spans="1:14" s="7" customFormat="1" ht="18" customHeight="1" x14ac:dyDescent="0.2">
      <c r="A85" s="9"/>
      <c r="B85" s="281" t="s">
        <v>149</v>
      </c>
      <c r="C85" s="280"/>
      <c r="D85" s="280"/>
      <c r="E85" s="280"/>
      <c r="F85" s="211"/>
      <c r="G85" s="163"/>
      <c r="H85" s="347"/>
      <c r="I85" s="329"/>
      <c r="J85" s="348" t="s">
        <v>159</v>
      </c>
      <c r="K85" s="349"/>
      <c r="L85" s="350"/>
      <c r="M85" s="321">
        <f>SUMIF(J11:J57,"A",M11:M57)+SUMIF(J11:J57,"A-",M11:M57)+SUMIF(J11:J57,"B+",M11:M57)+SUMIF(J11:J57,"B",M11:M57)+SUMIF(J11:J57,"B-",M11:M57)+SUMIF(J11:J57,"C+",M11:M57)+SUMIF(J11:J57,"C",M11:M57)+SUMIF(J11:J57,"C-",M11:M57)+SUMIF(J11:J57,"D+",M11:M57)+SUMIF(J11:J57,"D",M11:M57)+SUMIF(J11:J57,"D-",M11:M57)+SUMIF(J11:J57,"T",M11:M57)+SUMIF(J11:J57,"AP",M11:M57)+SUMIF(J11:J57,"IB",M11:M57)</f>
        <v>0</v>
      </c>
      <c r="N85" s="322"/>
    </row>
    <row r="86" spans="1:14" s="7" customFormat="1" ht="15" customHeight="1" x14ac:dyDescent="0.2">
      <c r="A86" s="9"/>
      <c r="B86" s="284" t="s">
        <v>150</v>
      </c>
      <c r="C86" s="279"/>
      <c r="D86" s="279"/>
      <c r="E86" s="279"/>
      <c r="F86" s="211"/>
      <c r="G86" s="163"/>
      <c r="H86" s="346" t="s">
        <v>24</v>
      </c>
      <c r="I86" s="327"/>
      <c r="J86" s="348" t="s">
        <v>161</v>
      </c>
      <c r="K86" s="349"/>
      <c r="L86" s="350"/>
      <c r="M86" s="351">
        <v>135</v>
      </c>
      <c r="N86" s="352"/>
    </row>
    <row r="87" spans="1:14" s="7" customFormat="1" ht="15" x14ac:dyDescent="0.2">
      <c r="A87" s="9"/>
      <c r="B87" s="281" t="s">
        <v>151</v>
      </c>
      <c r="C87" s="280"/>
      <c r="D87" s="280"/>
      <c r="E87" s="280"/>
      <c r="F87" s="211"/>
      <c r="G87" s="163"/>
      <c r="H87" s="347"/>
      <c r="I87" s="329"/>
      <c r="J87" s="348" t="s">
        <v>159</v>
      </c>
      <c r="K87" s="349"/>
      <c r="L87" s="350"/>
      <c r="M87" s="321">
        <f>SUM(K11:K81)</f>
        <v>0</v>
      </c>
      <c r="N87" s="322"/>
    </row>
    <row r="88" spans="1:14" s="7" customFormat="1" ht="15" x14ac:dyDescent="0.2">
      <c r="A88" s="9"/>
      <c r="B88" s="281" t="s">
        <v>152</v>
      </c>
      <c r="C88" s="115"/>
      <c r="D88" s="115"/>
      <c r="E88" s="115"/>
      <c r="F88" s="211"/>
      <c r="G88" s="163"/>
      <c r="H88" s="6"/>
      <c r="J88" s="8"/>
      <c r="M88" s="9"/>
    </row>
    <row r="89" spans="1:14" s="7" customFormat="1" ht="15" customHeight="1" x14ac:dyDescent="0.2">
      <c r="A89" s="9"/>
      <c r="B89" s="281" t="s">
        <v>153</v>
      </c>
      <c r="C89" s="115"/>
      <c r="D89" s="115"/>
      <c r="E89" s="115"/>
      <c r="F89" s="211"/>
      <c r="G89" s="163"/>
      <c r="H89" s="323" t="s">
        <v>166</v>
      </c>
      <c r="I89" s="324"/>
      <c r="J89" s="325"/>
      <c r="K89" s="326"/>
      <c r="L89" s="326"/>
      <c r="M89" s="326"/>
      <c r="N89" s="327"/>
    </row>
    <row r="90" spans="1:14" s="7" customFormat="1" ht="15" x14ac:dyDescent="0.2">
      <c r="A90" s="237"/>
      <c r="B90" s="115" t="s">
        <v>197</v>
      </c>
      <c r="C90" s="115"/>
      <c r="D90" s="115"/>
      <c r="E90" s="115"/>
      <c r="F90" s="211"/>
      <c r="G90" s="163"/>
      <c r="H90" s="330" t="s">
        <v>167</v>
      </c>
      <c r="I90" s="331"/>
      <c r="J90" s="328"/>
      <c r="K90" s="328"/>
      <c r="L90" s="328"/>
      <c r="M90" s="328"/>
      <c r="N90" s="329"/>
    </row>
    <row r="91" spans="1:14" s="7" customFormat="1" ht="15" x14ac:dyDescent="0.2">
      <c r="A91" s="237"/>
      <c r="B91" s="285" t="s">
        <v>155</v>
      </c>
      <c r="C91" s="115"/>
      <c r="D91" s="115"/>
      <c r="E91" s="115"/>
      <c r="F91" s="211"/>
      <c r="G91" s="163"/>
      <c r="H91" s="330"/>
      <c r="I91" s="332"/>
      <c r="J91" s="339" t="s">
        <v>159</v>
      </c>
      <c r="K91" s="340"/>
      <c r="L91" s="340"/>
      <c r="M91" s="341">
        <f>SUMIF(J11:J81, "AP",K11:K81)+SUMIF(J11:J81,"IB",K11:K81)</f>
        <v>0</v>
      </c>
      <c r="N91" s="342"/>
    </row>
    <row r="92" spans="1:14" s="7" customFormat="1" ht="17" thickBot="1" x14ac:dyDescent="0.25">
      <c r="A92" s="9"/>
      <c r="B92" s="282" t="s">
        <v>156</v>
      </c>
      <c r="C92" s="283"/>
      <c r="D92" s="283"/>
      <c r="E92" s="283"/>
      <c r="F92" s="238"/>
      <c r="G92" s="163"/>
      <c r="H92" s="333"/>
      <c r="I92" s="334"/>
      <c r="J92" s="339" t="s">
        <v>169</v>
      </c>
      <c r="K92" s="340"/>
      <c r="L92" s="340"/>
      <c r="M92" s="343">
        <v>32</v>
      </c>
      <c r="N92" s="344"/>
    </row>
    <row r="93" spans="1:14" s="7" customFormat="1" ht="16" x14ac:dyDescent="0.2">
      <c r="A93" s="9"/>
      <c r="B93" s="239"/>
      <c r="C93" s="221"/>
      <c r="D93" s="221"/>
      <c r="E93" s="209"/>
      <c r="F93" s="209"/>
      <c r="G93" s="163"/>
      <c r="H93" s="335"/>
      <c r="I93" s="336"/>
      <c r="J93" s="508" t="s">
        <v>171</v>
      </c>
      <c r="K93" s="316"/>
      <c r="L93" s="339"/>
      <c r="M93" s="319"/>
      <c r="N93" s="509"/>
    </row>
    <row r="94" spans="1:14" s="7" customFormat="1" x14ac:dyDescent="0.2">
      <c r="A94" s="9"/>
      <c r="G94" s="163"/>
      <c r="H94" s="6"/>
      <c r="J94" s="8"/>
      <c r="M94" s="9"/>
    </row>
    <row r="95" spans="1:14" s="7" customFormat="1" x14ac:dyDescent="0.2">
      <c r="A95" s="9"/>
      <c r="G95" s="163"/>
      <c r="H95" s="6"/>
      <c r="J95" s="8"/>
      <c r="M95" s="9"/>
    </row>
    <row r="96" spans="1:14" s="7" customFormat="1" x14ac:dyDescent="0.2">
      <c r="A96" s="9"/>
      <c r="G96" s="163"/>
      <c r="H96" s="6"/>
      <c r="J96" s="8"/>
      <c r="M96" s="9"/>
    </row>
    <row r="97" spans="1:14" s="7" customFormat="1" ht="16" x14ac:dyDescent="0.2">
      <c r="A97" s="9"/>
      <c r="B97" s="240" t="s">
        <v>162</v>
      </c>
      <c r="C97" s="241"/>
      <c r="D97" s="171" t="s">
        <v>163</v>
      </c>
      <c r="E97" s="172"/>
      <c r="G97" s="163"/>
      <c r="H97" s="6"/>
      <c r="J97" s="8"/>
      <c r="M97" s="9"/>
    </row>
    <row r="98" spans="1:14" s="7" customFormat="1" ht="15" x14ac:dyDescent="0.2">
      <c r="A98" s="9"/>
      <c r="B98" s="242"/>
      <c r="C98" s="243"/>
      <c r="D98" s="173" t="s">
        <v>164</v>
      </c>
      <c r="E98" s="174"/>
      <c r="G98" s="163"/>
      <c r="H98" s="6"/>
      <c r="J98" s="8"/>
      <c r="M98" s="9"/>
    </row>
    <row r="99" spans="1:14" ht="15" x14ac:dyDescent="0.2">
      <c r="B99" s="242"/>
      <c r="C99" s="243"/>
      <c r="D99" s="173" t="s">
        <v>165</v>
      </c>
      <c r="E99" s="175"/>
      <c r="H99" s="6"/>
      <c r="I99" s="7"/>
      <c r="J99" s="8"/>
      <c r="K99" s="7"/>
      <c r="L99" s="7"/>
      <c r="M99" s="9"/>
      <c r="N99" s="7"/>
    </row>
    <row r="100" spans="1:14" ht="15" x14ac:dyDescent="0.2">
      <c r="B100" s="242"/>
      <c r="C100" s="243"/>
      <c r="D100" s="176"/>
      <c r="E100" s="177"/>
    </row>
    <row r="101" spans="1:14" ht="15" x14ac:dyDescent="0.2">
      <c r="B101" s="242"/>
      <c r="C101" s="243"/>
      <c r="D101" s="176"/>
      <c r="E101" s="177"/>
    </row>
    <row r="102" spans="1:14" ht="15" x14ac:dyDescent="0.2">
      <c r="B102" s="244"/>
      <c r="C102" s="245"/>
      <c r="D102" s="176"/>
      <c r="E102" s="177"/>
    </row>
    <row r="105" spans="1:14" x14ac:dyDescent="0.2">
      <c r="B105" s="337" t="s">
        <v>168</v>
      </c>
      <c r="C105" s="338"/>
      <c r="D105" s="338"/>
      <c r="E105" s="338"/>
    </row>
    <row r="106" spans="1:14" x14ac:dyDescent="0.2">
      <c r="B106" s="338"/>
      <c r="C106" s="338"/>
      <c r="D106" s="338"/>
      <c r="E106" s="338"/>
    </row>
    <row r="107" spans="1:14" ht="124.5" customHeight="1" x14ac:dyDescent="0.2">
      <c r="B107" s="345" t="s">
        <v>170</v>
      </c>
      <c r="C107" s="345"/>
      <c r="D107" s="345"/>
      <c r="E107" s="345"/>
    </row>
    <row r="108" spans="1:14" ht="16" x14ac:dyDescent="0.2">
      <c r="B108" s="290" t="s">
        <v>172</v>
      </c>
    </row>
    <row r="109" spans="1:14" ht="32" x14ac:dyDescent="0.2">
      <c r="B109" s="290" t="s">
        <v>173</v>
      </c>
    </row>
    <row r="110" spans="1:14" ht="166.5" customHeight="1" x14ac:dyDescent="0.2">
      <c r="B110" s="290" t="s">
        <v>174</v>
      </c>
      <c r="C110" s="290" t="s">
        <v>175</v>
      </c>
      <c r="D110" s="290" t="s">
        <v>176</v>
      </c>
      <c r="E110" s="290" t="s">
        <v>177</v>
      </c>
      <c r="F110" s="290" t="s">
        <v>178</v>
      </c>
    </row>
    <row r="111" spans="1:14" ht="128.25" customHeight="1" x14ac:dyDescent="0.2">
      <c r="B111" s="290" t="s">
        <v>179</v>
      </c>
      <c r="C111" s="290" t="s">
        <v>180</v>
      </c>
      <c r="D111" s="290" t="s">
        <v>181</v>
      </c>
      <c r="E111" s="290" t="s">
        <v>182</v>
      </c>
      <c r="F111" s="290" t="s">
        <v>183</v>
      </c>
    </row>
  </sheetData>
  <mergeCells count="111">
    <mergeCell ref="B105:E106"/>
    <mergeCell ref="B107:E107"/>
    <mergeCell ref="H89:I89"/>
    <mergeCell ref="J89:N90"/>
    <mergeCell ref="H90:I93"/>
    <mergeCell ref="J91:L91"/>
    <mergeCell ref="M91:N91"/>
    <mergeCell ref="J92:L92"/>
    <mergeCell ref="M92:N92"/>
    <mergeCell ref="J93:L93"/>
    <mergeCell ref="M93:N93"/>
    <mergeCell ref="H84:I85"/>
    <mergeCell ref="J84:L84"/>
    <mergeCell ref="M84:N84"/>
    <mergeCell ref="J85:L85"/>
    <mergeCell ref="M85:N85"/>
    <mergeCell ref="H86:I87"/>
    <mergeCell ref="J86:L86"/>
    <mergeCell ref="M86:N86"/>
    <mergeCell ref="J87:L87"/>
    <mergeCell ref="M87:N87"/>
    <mergeCell ref="B74:E75"/>
    <mergeCell ref="H82:I83"/>
    <mergeCell ref="J82:L82"/>
    <mergeCell ref="M82:N82"/>
    <mergeCell ref="B82:D82"/>
    <mergeCell ref="J83:L83"/>
    <mergeCell ref="M83:N83"/>
    <mergeCell ref="K70:K71"/>
    <mergeCell ref="L70:L71"/>
    <mergeCell ref="M70:M71"/>
    <mergeCell ref="N70:N71"/>
    <mergeCell ref="B70:E70"/>
    <mergeCell ref="B71:E71"/>
    <mergeCell ref="B73:E73"/>
    <mergeCell ref="B68:F68"/>
    <mergeCell ref="B69:E69"/>
    <mergeCell ref="H70:H71"/>
    <mergeCell ref="I70:I71"/>
    <mergeCell ref="J70:J71"/>
    <mergeCell ref="B65:E65"/>
    <mergeCell ref="J66:J67"/>
    <mergeCell ref="K66:K67"/>
    <mergeCell ref="B72:E72"/>
    <mergeCell ref="L66:L67"/>
    <mergeCell ref="M66:M67"/>
    <mergeCell ref="B66:E66"/>
    <mergeCell ref="B61:C62"/>
    <mergeCell ref="H63:H64"/>
    <mergeCell ref="J63:J64"/>
    <mergeCell ref="K63:K64"/>
    <mergeCell ref="B63:F63"/>
    <mergeCell ref="B64:F64"/>
    <mergeCell ref="B67:E67"/>
    <mergeCell ref="A51:A58"/>
    <mergeCell ref="F51:F58"/>
    <mergeCell ref="H58:H59"/>
    <mergeCell ref="I58:I59"/>
    <mergeCell ref="J58:J59"/>
    <mergeCell ref="K58:K59"/>
    <mergeCell ref="A41:A48"/>
    <mergeCell ref="C41:C46"/>
    <mergeCell ref="D41:D46"/>
    <mergeCell ref="F41:F48"/>
    <mergeCell ref="H43:N43"/>
    <mergeCell ref="H46:N46"/>
    <mergeCell ref="J27:J28"/>
    <mergeCell ref="K27:K28"/>
    <mergeCell ref="L27:L28"/>
    <mergeCell ref="M27:M28"/>
    <mergeCell ref="A31:A38"/>
    <mergeCell ref="C31:C36"/>
    <mergeCell ref="D31:D36"/>
    <mergeCell ref="F31:F38"/>
    <mergeCell ref="H32:M32"/>
    <mergeCell ref="H38:M38"/>
    <mergeCell ref="A21:A28"/>
    <mergeCell ref="C21:C26"/>
    <mergeCell ref="D21:D26"/>
    <mergeCell ref="F21:F28"/>
    <mergeCell ref="H27:H28"/>
    <mergeCell ref="I27:I28"/>
    <mergeCell ref="H9:H10"/>
    <mergeCell ref="I9:I10"/>
    <mergeCell ref="B5:C5"/>
    <mergeCell ref="B6:C6"/>
    <mergeCell ref="J9:J10"/>
    <mergeCell ref="K9:K10"/>
    <mergeCell ref="L9:L10"/>
    <mergeCell ref="M9:M10"/>
    <mergeCell ref="A11:A18"/>
    <mergeCell ref="F11:F18"/>
    <mergeCell ref="J11:J12"/>
    <mergeCell ref="K11:K12"/>
    <mergeCell ref="L11:L12"/>
    <mergeCell ref="B1:D1"/>
    <mergeCell ref="H1:M1"/>
    <mergeCell ref="B2:C2"/>
    <mergeCell ref="N2:N8"/>
    <mergeCell ref="D4:E4"/>
    <mergeCell ref="D2:E3"/>
    <mergeCell ref="H2:M3"/>
    <mergeCell ref="H4:M5"/>
    <mergeCell ref="D5:E6"/>
    <mergeCell ref="H6:M7"/>
    <mergeCell ref="D7:E8"/>
    <mergeCell ref="H8:M8"/>
    <mergeCell ref="B7:C7"/>
    <mergeCell ref="B8:C8"/>
    <mergeCell ref="B3:C3"/>
    <mergeCell ref="B4:C4"/>
  </mergeCells>
  <hyperlinks>
    <hyperlink ref="B4:C4" r:id="rId1" display="Please refer to the academic catalog for more detailed information on each course" xr:uid="{A8B47E0C-5799-4A67-97BB-465AE47A0B9F}"/>
  </hyperlinks>
  <pageMargins left="0.7" right="0.7" top="0.75" bottom="0.75" header="0.3" footer="0.3"/>
  <pageSetup orientation="portrait"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59C41-BA04-40CD-9054-9B73585A0DC2}">
  <dimension ref="A1:R23"/>
  <sheetViews>
    <sheetView topLeftCell="A2" workbookViewId="0">
      <selection activeCell="I16" sqref="I16"/>
    </sheetView>
  </sheetViews>
  <sheetFormatPr baseColWidth="10" defaultColWidth="8.83203125" defaultRowHeight="15" x14ac:dyDescent="0.2"/>
  <cols>
    <col min="1" max="1" width="10.1640625" customWidth="1"/>
    <col min="10" max="10" width="17.5" customWidth="1"/>
  </cols>
  <sheetData>
    <row r="1" spans="1:18" ht="24" x14ac:dyDescent="0.3">
      <c r="A1" s="510" t="s">
        <v>198</v>
      </c>
      <c r="B1" s="510"/>
      <c r="C1" s="510"/>
      <c r="D1" s="510"/>
      <c r="E1" s="510"/>
      <c r="F1" s="510"/>
      <c r="G1" s="510"/>
      <c r="H1" s="510"/>
    </row>
    <row r="2" spans="1:18" ht="45.75" customHeight="1" x14ac:dyDescent="0.2">
      <c r="A2" s="511" t="s">
        <v>199</v>
      </c>
      <c r="B2" s="511"/>
      <c r="C2" s="511"/>
      <c r="D2" s="511"/>
      <c r="E2" s="511"/>
      <c r="F2" s="511"/>
      <c r="G2" s="511"/>
      <c r="H2" s="511"/>
      <c r="I2" s="511"/>
      <c r="J2" s="511"/>
    </row>
    <row r="4" spans="1:18" x14ac:dyDescent="0.2">
      <c r="A4" s="512" t="s">
        <v>200</v>
      </c>
      <c r="B4" s="512"/>
      <c r="C4" s="512"/>
      <c r="D4" s="512"/>
      <c r="E4" s="512"/>
      <c r="F4" s="512"/>
      <c r="G4" s="512"/>
      <c r="H4" s="512"/>
      <c r="I4" s="512"/>
      <c r="J4" s="512"/>
      <c r="K4" s="512"/>
      <c r="L4" s="512"/>
      <c r="M4" s="512"/>
      <c r="N4" s="512"/>
      <c r="O4" s="512"/>
      <c r="P4" s="512"/>
      <c r="Q4" s="512"/>
      <c r="R4" s="512"/>
    </row>
    <row r="6" spans="1:18" s="292" customFormat="1" x14ac:dyDescent="0.2">
      <c r="A6" s="294" t="s">
        <v>201</v>
      </c>
      <c r="B6" s="292" t="s">
        <v>202</v>
      </c>
    </row>
    <row r="7" spans="1:18" x14ac:dyDescent="0.2">
      <c r="A7" s="513" t="s">
        <v>203</v>
      </c>
      <c r="B7" s="513"/>
      <c r="C7" s="513"/>
      <c r="D7" s="513"/>
    </row>
    <row r="8" spans="1:18" s="292" customFormat="1" x14ac:dyDescent="0.2">
      <c r="A8" s="294" t="s">
        <v>204</v>
      </c>
    </row>
    <row r="9" spans="1:18" x14ac:dyDescent="0.2">
      <c r="A9" s="514" t="s">
        <v>205</v>
      </c>
      <c r="B9" s="514"/>
      <c r="C9" s="297"/>
      <c r="D9" s="297"/>
    </row>
    <row r="10" spans="1:18" s="292" customFormat="1" x14ac:dyDescent="0.2">
      <c r="A10" s="515" t="s">
        <v>206</v>
      </c>
      <c r="B10" s="515"/>
      <c r="C10" s="515"/>
      <c r="D10" s="296"/>
    </row>
    <row r="11" spans="1:18" x14ac:dyDescent="0.2">
      <c r="A11" s="514" t="s">
        <v>207</v>
      </c>
      <c r="B11" s="514"/>
      <c r="C11" s="514"/>
      <c r="D11" s="297"/>
    </row>
    <row r="12" spans="1:18" s="292" customFormat="1" x14ac:dyDescent="0.2">
      <c r="A12" s="516" t="s">
        <v>208</v>
      </c>
      <c r="B12" s="516"/>
      <c r="C12" s="516"/>
      <c r="D12" s="516"/>
    </row>
    <row r="13" spans="1:18" x14ac:dyDescent="0.2">
      <c r="A13" s="293" t="s">
        <v>209</v>
      </c>
      <c r="B13" s="297" t="s">
        <v>210</v>
      </c>
      <c r="C13" s="297"/>
      <c r="D13" s="297"/>
    </row>
    <row r="15" spans="1:18" x14ac:dyDescent="0.2">
      <c r="A15" s="512" t="s">
        <v>211</v>
      </c>
      <c r="B15" s="517"/>
      <c r="C15" s="517"/>
      <c r="D15" s="517"/>
      <c r="E15" s="517"/>
      <c r="F15" s="517"/>
      <c r="G15" s="517"/>
      <c r="H15" s="517"/>
      <c r="I15" s="517"/>
      <c r="J15" s="517"/>
    </row>
    <row r="17" spans="1:4" s="292" customFormat="1" x14ac:dyDescent="0.2">
      <c r="A17" s="294" t="s">
        <v>212</v>
      </c>
      <c r="B17" s="292" t="s">
        <v>213</v>
      </c>
    </row>
    <row r="18" spans="1:4" x14ac:dyDescent="0.2">
      <c r="A18" s="295" t="s">
        <v>214</v>
      </c>
      <c r="B18" t="s">
        <v>215</v>
      </c>
    </row>
    <row r="19" spans="1:4" s="292" customFormat="1" x14ac:dyDescent="0.2">
      <c r="A19" s="515" t="s">
        <v>216</v>
      </c>
      <c r="B19" s="515"/>
      <c r="C19" s="515"/>
      <c r="D19" s="515"/>
    </row>
    <row r="20" spans="1:4" x14ac:dyDescent="0.2">
      <c r="A20" s="514" t="s">
        <v>217</v>
      </c>
      <c r="B20" s="514"/>
      <c r="C20" s="514"/>
      <c r="D20" s="514"/>
    </row>
    <row r="21" spans="1:4" s="292" customFormat="1" x14ac:dyDescent="0.2">
      <c r="A21" s="291" t="s">
        <v>218</v>
      </c>
      <c r="B21" s="291" t="s">
        <v>219</v>
      </c>
      <c r="C21" s="291"/>
      <c r="D21" s="291"/>
    </row>
    <row r="22" spans="1:4" x14ac:dyDescent="0.2">
      <c r="A22" s="295" t="s">
        <v>220</v>
      </c>
      <c r="B22" t="s">
        <v>221</v>
      </c>
    </row>
    <row r="23" spans="1:4" s="292" customFormat="1" x14ac:dyDescent="0.2">
      <c r="A23" s="515" t="s">
        <v>222</v>
      </c>
      <c r="B23" s="515"/>
      <c r="C23" s="515"/>
      <c r="D23" s="515"/>
    </row>
  </sheetData>
  <mergeCells count="12">
    <mergeCell ref="A23:D23"/>
    <mergeCell ref="A9:B9"/>
    <mergeCell ref="A10:C10"/>
    <mergeCell ref="A11:C11"/>
    <mergeCell ref="A12:D12"/>
    <mergeCell ref="A15:J15"/>
    <mergeCell ref="A19:D19"/>
    <mergeCell ref="A1:H1"/>
    <mergeCell ref="A2:J2"/>
    <mergeCell ref="A4:R4"/>
    <mergeCell ref="A7:D7"/>
    <mergeCell ref="A20:D20"/>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7"/>
  <sheetViews>
    <sheetView workbookViewId="0">
      <selection activeCell="B19" sqref="B19"/>
    </sheetView>
  </sheetViews>
  <sheetFormatPr baseColWidth="10" defaultColWidth="8.83203125" defaultRowHeight="15" x14ac:dyDescent="0.2"/>
  <cols>
    <col min="1" max="1" width="10.5" bestFit="1" customWidth="1"/>
    <col min="2" max="2" width="31.33203125" bestFit="1" customWidth="1"/>
    <col min="3" max="3" width="10.33203125" bestFit="1" customWidth="1"/>
  </cols>
  <sheetData>
    <row r="1" spans="1:10" ht="30" customHeight="1" x14ac:dyDescent="0.45">
      <c r="A1" s="518" t="s">
        <v>223</v>
      </c>
      <c r="B1" s="519"/>
      <c r="C1" s="519"/>
      <c r="D1" s="519"/>
      <c r="E1" s="519"/>
      <c r="F1" s="519"/>
      <c r="G1" s="519"/>
      <c r="H1" s="519"/>
      <c r="I1" s="519"/>
      <c r="J1" s="519"/>
    </row>
    <row r="2" spans="1:10" ht="14.5" customHeight="1" x14ac:dyDescent="0.2">
      <c r="A2" t="s">
        <v>224</v>
      </c>
    </row>
    <row r="3" spans="1:10" ht="14.5" customHeight="1" x14ac:dyDescent="0.2">
      <c r="A3" t="s">
        <v>225</v>
      </c>
    </row>
    <row r="4" spans="1:10" ht="14.5" customHeight="1" x14ac:dyDescent="0.2">
      <c r="A4" t="s">
        <v>226</v>
      </c>
    </row>
    <row r="5" spans="1:10" ht="14.5" customHeight="1" x14ac:dyDescent="0.2">
      <c r="A5" t="s">
        <v>227</v>
      </c>
    </row>
    <row r="6" spans="1:10" ht="14.5" customHeight="1" x14ac:dyDescent="0.2">
      <c r="A6" t="s">
        <v>228</v>
      </c>
    </row>
    <row r="7" spans="1:10" ht="14.5" customHeight="1" x14ac:dyDescent="0.2">
      <c r="A7" t="s">
        <v>229</v>
      </c>
    </row>
    <row r="8" spans="1:10" ht="14.5" customHeight="1" x14ac:dyDescent="0.2">
      <c r="A8" t="s">
        <v>230</v>
      </c>
    </row>
    <row r="9" spans="1:10" ht="14.5" customHeight="1" x14ac:dyDescent="0.2">
      <c r="A9" t="s">
        <v>231</v>
      </c>
    </row>
    <row r="10" spans="1:10" ht="14.5" customHeight="1" x14ac:dyDescent="0.2">
      <c r="A10" s="458" t="s">
        <v>232</v>
      </c>
      <c r="B10" s="458"/>
    </row>
    <row r="11" spans="1:10" ht="14.5" customHeight="1" x14ac:dyDescent="0.2">
      <c r="B11" s="266"/>
    </row>
    <row r="12" spans="1:10" ht="14.5" customHeight="1" x14ac:dyDescent="0.2">
      <c r="A12" t="s">
        <v>233</v>
      </c>
    </row>
    <row r="13" spans="1:10" ht="14.5" customHeight="1" x14ac:dyDescent="0.2">
      <c r="A13" t="s">
        <v>234</v>
      </c>
    </row>
    <row r="14" spans="1:10" ht="14.5" customHeight="1" x14ac:dyDescent="0.2">
      <c r="A14" t="s">
        <v>235</v>
      </c>
    </row>
    <row r="15" spans="1:10" ht="14.5" customHeight="1" x14ac:dyDescent="0.2">
      <c r="A15" t="s">
        <v>236</v>
      </c>
    </row>
    <row r="16" spans="1:10" ht="14.5" customHeight="1" x14ac:dyDescent="0.2">
      <c r="A16" t="s">
        <v>237</v>
      </c>
    </row>
    <row r="17" spans="1:15" ht="14.5" customHeight="1" x14ac:dyDescent="0.2">
      <c r="A17" t="s">
        <v>238</v>
      </c>
    </row>
    <row r="18" spans="1:15" ht="14.5" customHeight="1" x14ac:dyDescent="0.2">
      <c r="A18" t="s">
        <v>239</v>
      </c>
    </row>
    <row r="19" spans="1:15" ht="14.5" customHeight="1" x14ac:dyDescent="0.2">
      <c r="A19" t="s">
        <v>240</v>
      </c>
    </row>
    <row r="20" spans="1:15" ht="14.5" customHeight="1" x14ac:dyDescent="0.2">
      <c r="A20" t="s">
        <v>241</v>
      </c>
    </row>
    <row r="21" spans="1:15" ht="14.5" customHeight="1" x14ac:dyDescent="0.2"/>
    <row r="22" spans="1:15" ht="14.5" customHeight="1" x14ac:dyDescent="0.2"/>
    <row r="23" spans="1:15" ht="14.5" customHeight="1" x14ac:dyDescent="0.2">
      <c r="A23" t="s">
        <v>242</v>
      </c>
      <c r="F23" t="s">
        <v>243</v>
      </c>
    </row>
    <row r="24" spans="1:15" ht="14.5" customHeight="1" x14ac:dyDescent="0.2"/>
    <row r="25" spans="1:15" ht="14.5" customHeight="1" x14ac:dyDescent="0.2">
      <c r="A25" t="s">
        <v>244</v>
      </c>
      <c r="B25" s="519" t="s">
        <v>245</v>
      </c>
      <c r="C25" s="519"/>
      <c r="D25" s="519"/>
      <c r="E25" s="519"/>
      <c r="F25" s="519"/>
      <c r="G25" s="519"/>
      <c r="H25" s="519"/>
      <c r="I25" s="519"/>
      <c r="J25" s="519"/>
      <c r="K25" s="519"/>
      <c r="L25" s="519"/>
      <c r="M25" s="519"/>
      <c r="N25" s="519"/>
      <c r="O25" s="519"/>
    </row>
    <row r="26" spans="1:15" ht="14.5" customHeight="1" x14ac:dyDescent="0.2">
      <c r="B26" s="519"/>
      <c r="C26" s="519"/>
      <c r="D26" s="519"/>
      <c r="E26" s="519"/>
      <c r="F26" s="519"/>
      <c r="G26" s="519"/>
      <c r="H26" s="519"/>
      <c r="I26" s="519"/>
      <c r="J26" s="519"/>
      <c r="K26" s="519"/>
      <c r="L26" s="519"/>
      <c r="M26" s="519"/>
      <c r="N26" s="519"/>
      <c r="O26" s="519"/>
    </row>
    <row r="27" spans="1:15" ht="14.5" customHeight="1" x14ac:dyDescent="0.2"/>
  </sheetData>
  <mergeCells count="3">
    <mergeCell ref="A1:J1"/>
    <mergeCell ref="A10:B10"/>
    <mergeCell ref="B25:O26"/>
  </mergeCells>
  <pageMargins left="0.7" right="0.7" top="0.75" bottom="0.75" header="0.3" footer="0.3"/>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9952153-5aa5-42e8-8300-ccc6398e6c31" xsi:nil="true"/>
    <lcf76f155ced4ddcb4097134ff3c332f xmlns="1ec03227-1b1b-4e44-8aa8-4366b8ba986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7B6ECF06BCAF54BBD158B3B896F7C25" ma:contentTypeVersion="18" ma:contentTypeDescription="Create a new document." ma:contentTypeScope="" ma:versionID="94381b7b9fa89ac0ecc56913fc39bdd4">
  <xsd:schema xmlns:xsd="http://www.w3.org/2001/XMLSchema" xmlns:xs="http://www.w3.org/2001/XMLSchema" xmlns:p="http://schemas.microsoft.com/office/2006/metadata/properties" xmlns:ns2="1ec03227-1b1b-4e44-8aa8-4366b8ba9863" xmlns:ns3="c60aefd4-7f9b-473f-ab65-c7e94bbe344e" xmlns:ns4="e9952153-5aa5-42e8-8300-ccc6398e6c31" targetNamespace="http://schemas.microsoft.com/office/2006/metadata/properties" ma:root="true" ma:fieldsID="6226bf22f32a83e581c2708323d1bab5" ns2:_="" ns3:_="" ns4:_="">
    <xsd:import namespace="1ec03227-1b1b-4e44-8aa8-4366b8ba9863"/>
    <xsd:import namespace="c60aefd4-7f9b-473f-ab65-c7e94bbe344e"/>
    <xsd:import namespace="e9952153-5aa5-42e8-8300-ccc6398e6c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c03227-1b1b-4e44-8aa8-4366b8ba98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0aefd4-7f9b-473f-ab65-c7e94bbe344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9952153-5aa5-42e8-8300-ccc6398e6c3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16692240-d692-4aa6-b9ca-bcc4a68058a6}" ma:internalName="TaxCatchAll" ma:showField="CatchAllData" ma:web="c60aefd4-7f9b-473f-ab65-c7e94bbe34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CE7EE4-F220-409D-9963-1C4EBB1DFF35}">
  <ds:schemaRefs>
    <ds:schemaRef ds:uri="e9952153-5aa5-42e8-8300-ccc6398e6c31"/>
    <ds:schemaRef ds:uri="c60aefd4-7f9b-473f-ab65-c7e94bbe344e"/>
    <ds:schemaRef ds:uri="http://purl.org/dc/elements/1.1/"/>
    <ds:schemaRef ds:uri="http://purl.org/dc/dcmitype/"/>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1ec03227-1b1b-4e44-8aa8-4366b8ba9863"/>
    <ds:schemaRef ds:uri="http://www.w3.org/XML/1998/namespace"/>
  </ds:schemaRefs>
</ds:datastoreItem>
</file>

<file path=customXml/itemProps2.xml><?xml version="1.0" encoding="utf-8"?>
<ds:datastoreItem xmlns:ds="http://schemas.openxmlformats.org/officeDocument/2006/customXml" ds:itemID="{B51914A4-B076-4EEC-B07A-6B41C2C8726E}">
  <ds:schemaRefs>
    <ds:schemaRef ds:uri="http://schemas.microsoft.com/office/2006/metadata/contentType"/>
    <ds:schemaRef ds:uri="http://schemas.microsoft.com/office/2006/metadata/properties/metaAttributes"/>
    <ds:schemaRef ds:uri="http://www.w3.org/2000/xmlns/"/>
    <ds:schemaRef ds:uri="http://www.w3.org/2001/XMLSchema"/>
    <ds:schemaRef ds:uri="1ec03227-1b1b-4e44-8aa8-4366b8ba9863"/>
    <ds:schemaRef ds:uri="c60aefd4-7f9b-473f-ab65-c7e94bbe344e"/>
    <ds:schemaRef ds:uri="e9952153-5aa5-42e8-8300-ccc6398e6c3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ADD2EF-FE07-459E-9178-62137C0D0D24}">
  <ds:schemaRefs>
    <ds:schemaRef ds:uri="http://schemas.microsoft.com/sharepoint/v3/contenttype/forms"/>
  </ds:schemaRefs>
</ds:datastoreItem>
</file>

<file path=docMetadata/LabelInfo.xml><?xml version="1.0" encoding="utf-8"?>
<clbl:labelList xmlns:clbl="http://schemas.microsoft.com/office/2020/mipLabelMetadata">
  <clbl:label id="{a8eec281-aaa3-4dae-ac9b-9a398b9215e7}" enabled="0" method="" siteId="{a8eec281-aaa3-4dae-ac9b-9a398b9215e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4 yrs, 1 co-op (spring) (2)</vt:lpstr>
      <vt:lpstr>4 yrs, 2 co-op (spring)</vt:lpstr>
      <vt:lpstr>4 yrs, 1 co-op (fall)</vt:lpstr>
      <vt:lpstr>5 yrs, 3 co-ops (fall cycle)</vt:lpstr>
      <vt:lpstr>5 yrs, 3 co-ops (spring cycle)</vt:lpstr>
      <vt:lpstr>Technical Elective Options</vt:lpstr>
      <vt:lpstr>General Elective Exclusions</vt:lpstr>
    </vt:vector>
  </TitlesOfParts>
  <Manager/>
  <Company>Northeastern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Rakouskas, Russell</dc:creator>
  <cp:keywords/>
  <dc:description/>
  <cp:lastModifiedBy>Ibrahim Ayoub</cp:lastModifiedBy>
  <cp:revision/>
  <dcterms:created xsi:type="dcterms:W3CDTF">2019-03-12T22:03:50Z</dcterms:created>
  <dcterms:modified xsi:type="dcterms:W3CDTF">2026-03-31T14:51:57Z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0x01010097B6ECF06BCAF54BBD158B3B896F7C25</vt:lpwstr>
  </property>
  <property fmtid="{D5CDD505-2E9C-101B-9397-08002B2CF9AE}" pid="3" name="MediaServiceImageTags">
    <vt:lpwstr/>
  </property>
</Properties>
</file>